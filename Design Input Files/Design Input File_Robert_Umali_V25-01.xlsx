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Rocke\OneDrive\Documents\GitHub\Aero-Design-Lab\Design Input Files\"/>
    </mc:Choice>
  </mc:AlternateContent>
  <xr:revisionPtr revIDLastSave="0" documentId="13_ncr:1_{9B2B5F82-0E05-418C-A6CC-754CE40B80E5}" xr6:coauthVersionLast="47" xr6:coauthVersionMax="47" xr10:uidLastSave="{00000000-0000-0000-0000-000000000000}"/>
  <bookViews>
    <workbookView xWindow="-28920" yWindow="-1470" windowWidth="29040" windowHeight="16440" activeTab="3" xr2:uid="{904FC4B5-3CDE-421B-8E98-23A2C72E8C1E}"/>
  </bookViews>
  <sheets>
    <sheet name="Variable Reference" sheetId="12" r:id="rId1"/>
    <sheet name="Main_Input" sheetId="4" r:id="rId2"/>
    <sheet name="Airfoil_Data" sheetId="5" r:id="rId3"/>
    <sheet name="Component_Data" sheetId="11" r:id="rId4"/>
    <sheet name="Materials" sheetId="7" r:id="rId5"/>
    <sheet name="Benchmark_Truth" sheetId="6" r:id="rId6"/>
    <sheet name="Geometry Reference" sheetId="2" r:id="rId7"/>
  </sheets>
  <externalReferences>
    <externalReference r:id="rId8"/>
  </externalReferences>
  <definedNames>
    <definedName name="MATERIALS" localSheetId="0">[1]Materials!$A$1:$H$1</definedName>
    <definedName name="MATERIALS">Materials!$A$1:$H$1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5" l="1"/>
  <c r="B61" i="12" a="1"/>
  <c r="B61" i="12" s="1"/>
  <c r="B2" i="12" a="1"/>
  <c r="B2"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indexed="81"/>
            <rFont val="Tahoma"/>
            <family val="2"/>
          </rPr>
          <t>John Mah:</t>
        </r>
        <r>
          <rPr>
            <sz val="9"/>
            <color indexed="81"/>
            <rFont val="Tahoma"/>
            <family val="2"/>
          </rPr>
          <t xml:space="preserve">
Design Configuration ID</t>
        </r>
      </text>
    </comment>
    <comment ref="B1" authorId="0" shapeId="0" xr:uid="{83DC38A5-ED9C-4085-980D-E79A6D12A171}">
      <text>
        <r>
          <rPr>
            <b/>
            <sz val="9"/>
            <color indexed="81"/>
            <rFont val="Tahoma"/>
            <family val="2"/>
          </rPr>
          <t>John Mah:</t>
        </r>
        <r>
          <rPr>
            <sz val="9"/>
            <color indexed="81"/>
            <rFont val="Tahoma"/>
            <family val="2"/>
          </rPr>
          <t xml:space="preserve">
STD Atmosphere Altitude in meters</t>
        </r>
      </text>
    </comment>
    <comment ref="C1" authorId="0" shapeId="0" xr:uid="{A837C1E9-6ED1-49B9-9CBF-9495DAA361DF}">
      <text>
        <r>
          <rPr>
            <b/>
            <sz val="9"/>
            <color indexed="81"/>
            <rFont val="Tahoma"/>
            <family val="2"/>
          </rPr>
          <t>John Mah:</t>
        </r>
        <r>
          <rPr>
            <sz val="9"/>
            <color indexed="81"/>
            <rFont val="Tahoma"/>
            <family val="2"/>
          </rPr>
          <t xml:space="preserve">
Estimate of glide velocity (m/s)</t>
        </r>
      </text>
    </comment>
    <comment ref="D1" authorId="0" shapeId="0" xr:uid="{09BB683E-80D7-4EA2-8430-3C05FCDCC012}">
      <text>
        <r>
          <rPr>
            <b/>
            <sz val="9"/>
            <color indexed="81"/>
            <rFont val="Tahoma"/>
            <family val="2"/>
          </rPr>
          <t>John Mah:</t>
        </r>
        <r>
          <rPr>
            <sz val="9"/>
            <color indexed="81"/>
            <rFont val="Tahoma"/>
            <family val="2"/>
          </rPr>
          <t xml:space="preserve">
Fuselage length in m</t>
        </r>
      </text>
    </comment>
    <comment ref="E1" authorId="0" shapeId="0" xr:uid="{6FB2E224-E3F9-44AC-BDE7-DA4F4F94169C}">
      <text>
        <r>
          <rPr>
            <b/>
            <sz val="9"/>
            <color indexed="81"/>
            <rFont val="Tahoma"/>
            <family val="2"/>
          </rPr>
          <t>John Mah:</t>
        </r>
        <r>
          <rPr>
            <sz val="9"/>
            <color indexed="81"/>
            <rFont val="Tahoma"/>
            <family val="2"/>
          </rPr>
          <t xml:space="preserve">
Fuselage max diameter in m</t>
        </r>
      </text>
    </comment>
    <comment ref="F1" authorId="0" shapeId="0" xr:uid="{B533DFA5-7359-499A-B80D-473144871A57}">
      <text>
        <r>
          <rPr>
            <b/>
            <sz val="9"/>
            <color indexed="81"/>
            <rFont val="Tahoma"/>
            <family val="2"/>
          </rPr>
          <t>John Mah:</t>
        </r>
        <r>
          <rPr>
            <sz val="9"/>
            <color indexed="81"/>
            <rFont val="Tahoma"/>
            <family val="2"/>
          </rPr>
          <t xml:space="preserve">
Fuselage finess ratio (auto calcuated from length_f and dia_f)</t>
        </r>
      </text>
    </comment>
    <comment ref="H1" authorId="0" shapeId="0" xr:uid="{08BA00B3-A5E3-48A9-AA17-30ED8132D250}">
      <text>
        <r>
          <rPr>
            <b/>
            <sz val="9"/>
            <color indexed="81"/>
            <rFont val="Tahoma"/>
            <family val="2"/>
          </rPr>
          <t>John Mah:</t>
        </r>
        <r>
          <rPr>
            <sz val="9"/>
            <color indexed="81"/>
            <rFont val="Tahoma"/>
            <family val="2"/>
          </rPr>
          <t xml:space="preserve">
Max Fuselage Xsection Area in m^2 (autocalculated)</t>
        </r>
      </text>
    </comment>
    <comment ref="I1" authorId="0" shapeId="0" xr:uid="{0BD3A066-2E97-45EB-A17C-D71B86F23875}">
      <text>
        <r>
          <rPr>
            <b/>
            <sz val="9"/>
            <color indexed="81"/>
            <rFont val="Tahoma"/>
            <family val="2"/>
          </rPr>
          <t>John Mah:</t>
        </r>
        <r>
          <rPr>
            <sz val="9"/>
            <color indexed="81"/>
            <rFont val="Tahoma"/>
            <family val="2"/>
          </rPr>
          <t xml:space="preserve">
Aft Xsection Fuselage Area where departure angle &gt; 20 deg (m^2)</t>
        </r>
      </text>
    </comment>
    <comment ref="J1" authorId="0" shapeId="0" xr:uid="{6EA0CF1F-7B90-40EF-AA33-BCF5A55CF27A}">
      <text>
        <r>
          <rPr>
            <b/>
            <sz val="9"/>
            <color indexed="81"/>
            <rFont val="Tahoma"/>
            <family val="2"/>
          </rPr>
          <t>John Mah:</t>
        </r>
        <r>
          <rPr>
            <sz val="9"/>
            <color indexed="81"/>
            <rFont val="Tahoma"/>
            <family val="2"/>
          </rPr>
          <t xml:space="preserve">
Wetted Fuselage Area (m^2)
</t>
        </r>
      </text>
    </comment>
    <comment ref="K1" authorId="0" shapeId="0" xr:uid="{456E3E0C-0365-45FF-ACC2-4B541B6EE1BC}">
      <text>
        <r>
          <rPr>
            <b/>
            <sz val="9"/>
            <color indexed="81"/>
            <rFont val="Tahoma"/>
            <family val="2"/>
          </rPr>
          <t>John Mah:</t>
        </r>
        <r>
          <rPr>
            <sz val="9"/>
            <color indexed="81"/>
            <rFont val="Tahoma"/>
            <family val="2"/>
          </rPr>
          <t xml:space="preserve">
Fuselage Interference Factor (default= 1)</t>
        </r>
      </text>
    </comment>
    <comment ref="M1" authorId="0" shapeId="0" xr:uid="{A0963DDF-AB2E-4A12-A89F-9430E9B2211A}">
      <text>
        <r>
          <rPr>
            <b/>
            <sz val="9"/>
            <color indexed="81"/>
            <rFont val="Tahoma"/>
            <family val="2"/>
          </rPr>
          <t>John Mah:</t>
        </r>
        <r>
          <rPr>
            <sz val="9"/>
            <color indexed="81"/>
            <rFont val="Tahoma"/>
            <family val="2"/>
          </rPr>
          <t xml:space="preserve">
Wing Planform Area (m^2)</t>
        </r>
      </text>
    </comment>
    <comment ref="N1" authorId="0" shapeId="0" xr:uid="{11CB8D3E-4310-440D-9486-FF42EBD4A282}">
      <text>
        <r>
          <rPr>
            <b/>
            <sz val="9"/>
            <color indexed="81"/>
            <rFont val="Tahoma"/>
            <family val="2"/>
          </rPr>
          <t>John Mah:</t>
        </r>
        <r>
          <rPr>
            <sz val="9"/>
            <color indexed="81"/>
            <rFont val="Tahoma"/>
            <family val="2"/>
          </rPr>
          <t xml:space="preserve">
Wing Wetted Area (m^2)</t>
        </r>
      </text>
    </comment>
    <comment ref="O1" authorId="0" shapeId="0" xr:uid="{1FE434B8-0041-48C2-B4DF-CF7B192E6A74}">
      <text>
        <r>
          <rPr>
            <b/>
            <sz val="9"/>
            <color indexed="81"/>
            <rFont val="Tahoma"/>
            <family val="2"/>
          </rPr>
          <t>John Mah:</t>
        </r>
        <r>
          <rPr>
            <sz val="9"/>
            <color indexed="81"/>
            <rFont val="Tahoma"/>
            <family val="2"/>
          </rPr>
          <t xml:space="preserve">
Wing Aspect Ratio</t>
        </r>
      </text>
    </comment>
    <comment ref="P1" authorId="0" shapeId="0" xr:uid="{4CFEEBB9-482D-49F7-8807-A86A75A74308}">
      <text>
        <r>
          <rPr>
            <b/>
            <sz val="9"/>
            <color indexed="81"/>
            <rFont val="Tahoma"/>
            <family val="2"/>
          </rPr>
          <t>John Mah:</t>
        </r>
        <r>
          <rPr>
            <sz val="9"/>
            <color indexed="81"/>
            <rFont val="Tahoma"/>
            <family val="2"/>
          </rPr>
          <t xml:space="preserve">
Wing Taper Ratio</t>
        </r>
      </text>
    </comment>
    <comment ref="Q1" authorId="0" shapeId="0" xr:uid="{0DEAC09F-4B78-4127-9A91-DC4B66C6575D}">
      <text>
        <r>
          <rPr>
            <b/>
            <sz val="9"/>
            <color indexed="81"/>
            <rFont val="Tahoma"/>
            <family val="2"/>
          </rPr>
          <t>John Mah:</t>
        </r>
        <r>
          <rPr>
            <sz val="9"/>
            <color indexed="81"/>
            <rFont val="Tahoma"/>
            <family val="2"/>
          </rPr>
          <t xml:space="preserve">
Wing Leading Edge Sweep (deg)</t>
        </r>
      </text>
    </comment>
    <comment ref="R1" authorId="0" shapeId="0" xr:uid="{2ECC4682-3878-4C4E-BEB2-44A7724B663B}">
      <text>
        <r>
          <rPr>
            <b/>
            <sz val="9"/>
            <color indexed="81"/>
            <rFont val="Tahoma"/>
            <family val="2"/>
          </rPr>
          <t>John Mah:</t>
        </r>
        <r>
          <rPr>
            <sz val="9"/>
            <color indexed="81"/>
            <rFont val="Tahoma"/>
            <family val="2"/>
          </rPr>
          <t xml:space="preserve">
Wing Quarter Chord Sweep (deg)</t>
        </r>
      </text>
    </comment>
    <comment ref="S1" authorId="0" shapeId="0" xr:uid="{838F2DB2-7B32-466A-A864-C241EBF9BF2A}">
      <text>
        <r>
          <rPr>
            <b/>
            <sz val="9"/>
            <color indexed="81"/>
            <rFont val="Tahoma"/>
            <family val="2"/>
          </rPr>
          <t>John Mah:</t>
        </r>
        <r>
          <rPr>
            <sz val="9"/>
            <color indexed="81"/>
            <rFont val="Tahoma"/>
            <family val="2"/>
          </rPr>
          <t xml:space="preserve">
Wing Interference Factor</t>
        </r>
      </text>
    </comment>
    <comment ref="U1" authorId="0" shapeId="0" xr:uid="{DBA0FD8D-AFDC-4356-890D-950C11A34B9A}">
      <text>
        <r>
          <rPr>
            <b/>
            <sz val="9"/>
            <color indexed="81"/>
            <rFont val="Tahoma"/>
            <family val="2"/>
          </rPr>
          <t>John Mah:</t>
        </r>
        <r>
          <rPr>
            <sz val="9"/>
            <color indexed="81"/>
            <rFont val="Tahoma"/>
            <family val="2"/>
          </rPr>
          <t xml:space="preserve">
Horz Tail 1 Planform Area (m^2)</t>
        </r>
      </text>
    </comment>
    <comment ref="V1" authorId="0" shapeId="0" xr:uid="{3582D852-5394-49B5-B87A-98011C76D1DD}">
      <text>
        <r>
          <rPr>
            <b/>
            <sz val="9"/>
            <color indexed="81"/>
            <rFont val="Tahoma"/>
            <family val="2"/>
          </rPr>
          <t>John Mah:</t>
        </r>
        <r>
          <rPr>
            <sz val="9"/>
            <color indexed="81"/>
            <rFont val="Tahoma"/>
            <family val="2"/>
          </rPr>
          <t xml:space="preserve">
Horz Tail 1 Wetted Area (m^2)</t>
        </r>
      </text>
    </comment>
    <comment ref="W1" authorId="0" shapeId="0" xr:uid="{AE4BA6B8-A4E5-467B-83A5-0A6B368E6D7A}">
      <text>
        <r>
          <rPr>
            <b/>
            <sz val="9"/>
            <color indexed="81"/>
            <rFont val="Tahoma"/>
            <family val="2"/>
          </rPr>
          <t>John Mah:</t>
        </r>
        <r>
          <rPr>
            <sz val="9"/>
            <color indexed="81"/>
            <rFont val="Tahoma"/>
            <family val="2"/>
          </rPr>
          <t xml:space="preserve">
Horz Tail 1 Aspect Ratio</t>
        </r>
      </text>
    </comment>
    <comment ref="X1" authorId="0" shapeId="0" xr:uid="{3C0D1424-56F5-4D8A-B23C-472AC177C5F0}">
      <text>
        <r>
          <rPr>
            <b/>
            <sz val="9"/>
            <color indexed="81"/>
            <rFont val="Tahoma"/>
            <family val="2"/>
          </rPr>
          <t>John Mah:</t>
        </r>
        <r>
          <rPr>
            <sz val="9"/>
            <color indexed="81"/>
            <rFont val="Tahoma"/>
            <family val="2"/>
          </rPr>
          <t xml:space="preserve">
Horz Tail 1 Taper Ratio</t>
        </r>
      </text>
    </comment>
    <comment ref="Y1" authorId="0" shapeId="0" xr:uid="{FAFC8431-6FC5-4F32-BD5F-86C9E7D37DF0}">
      <text>
        <r>
          <rPr>
            <b/>
            <sz val="9"/>
            <color indexed="81"/>
            <rFont val="Tahoma"/>
            <family val="2"/>
          </rPr>
          <t>John Mah:</t>
        </r>
        <r>
          <rPr>
            <sz val="9"/>
            <color indexed="81"/>
            <rFont val="Tahoma"/>
            <family val="2"/>
          </rPr>
          <t xml:space="preserve">
Horz Tail 1 Leading Edge Sweep (deg)</t>
        </r>
      </text>
    </comment>
    <comment ref="Z1" authorId="0" shapeId="0" xr:uid="{313C5530-71D1-4C05-96CC-E51335254DA7}">
      <text>
        <r>
          <rPr>
            <b/>
            <sz val="9"/>
            <color indexed="81"/>
            <rFont val="Tahoma"/>
            <family val="2"/>
          </rPr>
          <t>John Mah:</t>
        </r>
        <r>
          <rPr>
            <sz val="9"/>
            <color indexed="81"/>
            <rFont val="Tahoma"/>
            <family val="2"/>
          </rPr>
          <t xml:space="preserve">
Horz Tail 1 Estimated Mean Aerodynamic Chord length (m).  Calculate using following equation: 
MAC = (2/3)*(Root Chord)*(1+Taper+Taper^2)/(1+Taper)</t>
        </r>
      </text>
    </comment>
    <comment ref="AA1" authorId="0" shapeId="0" xr:uid="{BE2203DD-0070-431C-9BA8-A3A9EF64DAB8}">
      <text>
        <r>
          <rPr>
            <b/>
            <sz val="9"/>
            <color indexed="81"/>
            <rFont val="Tahoma"/>
            <family val="2"/>
          </rPr>
          <t>John Mah:</t>
        </r>
        <r>
          <rPr>
            <sz val="9"/>
            <color indexed="81"/>
            <rFont val="Tahoma"/>
            <family val="2"/>
          </rPr>
          <t xml:space="preserve">
Horz Tail 1 Interference Factor</t>
        </r>
      </text>
    </comment>
    <comment ref="AC1" authorId="0" shapeId="0" xr:uid="{47CBC688-D705-4820-AE3D-1C044C71AE7C}">
      <text>
        <r>
          <rPr>
            <b/>
            <sz val="9"/>
            <color indexed="81"/>
            <rFont val="Tahoma"/>
            <family val="2"/>
          </rPr>
          <t>John Mah:</t>
        </r>
        <r>
          <rPr>
            <sz val="9"/>
            <color indexed="81"/>
            <rFont val="Tahoma"/>
            <family val="2"/>
          </rPr>
          <t xml:space="preserve">
Vert Tail 1 Planform Area (m^2)</t>
        </r>
      </text>
    </comment>
    <comment ref="AD1" authorId="0" shapeId="0" xr:uid="{8070A0F0-B0D8-41AE-85FD-BBD5F1800206}">
      <text>
        <r>
          <rPr>
            <b/>
            <sz val="9"/>
            <color indexed="81"/>
            <rFont val="Tahoma"/>
            <family val="2"/>
          </rPr>
          <t>John Mah:</t>
        </r>
        <r>
          <rPr>
            <sz val="9"/>
            <color indexed="81"/>
            <rFont val="Tahoma"/>
            <family val="2"/>
          </rPr>
          <t xml:space="preserve">
Vert Tail 1 Wetted Area (m^2)</t>
        </r>
      </text>
    </comment>
    <comment ref="AE1" authorId="0" shapeId="0" xr:uid="{4C2136E3-2294-4889-A979-99B8EBB36DB9}">
      <text>
        <r>
          <rPr>
            <b/>
            <sz val="9"/>
            <color indexed="81"/>
            <rFont val="Tahoma"/>
            <family val="2"/>
          </rPr>
          <t>John Mah:</t>
        </r>
        <r>
          <rPr>
            <sz val="9"/>
            <color indexed="81"/>
            <rFont val="Tahoma"/>
            <family val="2"/>
          </rPr>
          <t xml:space="preserve">
Vert Tail 1 Aspect Ratio</t>
        </r>
      </text>
    </comment>
    <comment ref="AF1" authorId="0" shapeId="0" xr:uid="{86BF02EE-581B-4AEA-BF2A-A0AEDE197061}">
      <text>
        <r>
          <rPr>
            <b/>
            <sz val="9"/>
            <color indexed="81"/>
            <rFont val="Tahoma"/>
            <family val="2"/>
          </rPr>
          <t>John Mah:</t>
        </r>
        <r>
          <rPr>
            <sz val="9"/>
            <color indexed="81"/>
            <rFont val="Tahoma"/>
            <family val="2"/>
          </rPr>
          <t xml:space="preserve">
Vert Tail 1 Taper Ratio
</t>
        </r>
      </text>
    </comment>
    <comment ref="AG1" authorId="0" shapeId="0" xr:uid="{9FA84AC1-8986-490C-95DB-DF15194D0940}">
      <text>
        <r>
          <rPr>
            <b/>
            <sz val="9"/>
            <color indexed="81"/>
            <rFont val="Tahoma"/>
            <family val="2"/>
          </rPr>
          <t>John Mah:</t>
        </r>
        <r>
          <rPr>
            <sz val="9"/>
            <color indexed="81"/>
            <rFont val="Tahoma"/>
            <family val="2"/>
          </rPr>
          <t xml:space="preserve">
Vert Tail 1 Leading Edge Sweep (deg)</t>
        </r>
      </text>
    </comment>
    <comment ref="AH1" authorId="0" shapeId="0" xr:uid="{0967951B-563B-4921-865E-9BBB5B2944FA}">
      <text>
        <r>
          <rPr>
            <b/>
            <sz val="9"/>
            <color indexed="81"/>
            <rFont val="Tahoma"/>
            <family val="2"/>
          </rPr>
          <t>John Mah:</t>
        </r>
        <r>
          <rPr>
            <sz val="9"/>
            <color indexed="81"/>
            <rFont val="Tahoma"/>
            <family val="2"/>
          </rPr>
          <t xml:space="preserve">
Vert Tail 1 Estimated Mean Aerodynamic Chord (m)</t>
        </r>
      </text>
    </comment>
    <comment ref="AI1" authorId="0" shapeId="0" xr:uid="{77C37629-6D03-4601-AE99-2FC2FC01897F}">
      <text>
        <r>
          <rPr>
            <b/>
            <sz val="9"/>
            <color indexed="81"/>
            <rFont val="Tahoma"/>
            <family val="2"/>
          </rPr>
          <t>John Mah:</t>
        </r>
        <r>
          <rPr>
            <sz val="9"/>
            <color indexed="81"/>
            <rFont val="Tahoma"/>
            <family val="2"/>
          </rPr>
          <t xml:space="preserve">
Vert Tail 1 Interference Factor</t>
        </r>
      </text>
    </comment>
    <comment ref="AK1" authorId="0" shapeId="0" xr:uid="{0598D33E-E98E-4894-8AED-96D3F724BC24}">
      <text>
        <r>
          <rPr>
            <b/>
            <sz val="9"/>
            <color indexed="81"/>
            <rFont val="Tahoma"/>
            <family val="2"/>
          </rPr>
          <t>John Mah:</t>
        </r>
        <r>
          <rPr>
            <sz val="9"/>
            <color indexed="81"/>
            <rFont val="Tahoma"/>
            <family val="2"/>
          </rPr>
          <t xml:space="preserve">
Vert Tail 2 Planform Area (m^2)</t>
        </r>
      </text>
    </comment>
    <comment ref="AL1" authorId="0" shapeId="0" xr:uid="{5B740DAE-E4C2-491D-88F7-EA96B815F403}">
      <text>
        <r>
          <rPr>
            <b/>
            <sz val="9"/>
            <color indexed="81"/>
            <rFont val="Tahoma"/>
            <family val="2"/>
          </rPr>
          <t>John Mah:</t>
        </r>
        <r>
          <rPr>
            <sz val="9"/>
            <color indexed="81"/>
            <rFont val="Tahoma"/>
            <family val="2"/>
          </rPr>
          <t xml:space="preserve">
Vert Tail 2 Wetted Area (m^2)</t>
        </r>
      </text>
    </comment>
    <comment ref="AM1" authorId="0" shapeId="0" xr:uid="{782421BB-D040-4174-9A9A-19BC02FC789A}">
      <text>
        <r>
          <rPr>
            <b/>
            <sz val="9"/>
            <color indexed="81"/>
            <rFont val="Tahoma"/>
            <family val="2"/>
          </rPr>
          <t>John Mah:</t>
        </r>
        <r>
          <rPr>
            <sz val="9"/>
            <color indexed="81"/>
            <rFont val="Tahoma"/>
            <family val="2"/>
          </rPr>
          <t xml:space="preserve">
Vert Tail 2 Aspect Ratio</t>
        </r>
      </text>
    </comment>
    <comment ref="AN1" authorId="0" shapeId="0" xr:uid="{B50214BC-3C47-40AD-9DD1-8DF3699883E4}">
      <text>
        <r>
          <rPr>
            <b/>
            <sz val="9"/>
            <color indexed="81"/>
            <rFont val="Tahoma"/>
            <family val="2"/>
          </rPr>
          <t>John Mah:</t>
        </r>
        <r>
          <rPr>
            <sz val="9"/>
            <color indexed="81"/>
            <rFont val="Tahoma"/>
            <family val="2"/>
          </rPr>
          <t xml:space="preserve">
Vert Tail 2 Taper Ratio</t>
        </r>
      </text>
    </comment>
    <comment ref="AO1" authorId="0" shapeId="0" xr:uid="{73842A1D-885E-4F04-B4BE-F5939F17D3E8}">
      <text>
        <r>
          <rPr>
            <b/>
            <sz val="9"/>
            <color indexed="81"/>
            <rFont val="Tahoma"/>
            <family val="2"/>
          </rPr>
          <t>John Mah:</t>
        </r>
        <r>
          <rPr>
            <sz val="9"/>
            <color indexed="81"/>
            <rFont val="Tahoma"/>
            <family val="2"/>
          </rPr>
          <t xml:space="preserve">
Vert Tail 2 Leading Edge Sweep (deg)</t>
        </r>
      </text>
    </comment>
    <comment ref="AP1" authorId="0" shapeId="0" xr:uid="{5AE63272-FFF2-4A17-BD14-A195ED35FFD2}">
      <text>
        <r>
          <rPr>
            <b/>
            <sz val="9"/>
            <color indexed="81"/>
            <rFont val="Tahoma"/>
            <family val="2"/>
          </rPr>
          <t>John Mah:</t>
        </r>
        <r>
          <rPr>
            <sz val="9"/>
            <color indexed="81"/>
            <rFont val="Tahoma"/>
            <family val="2"/>
          </rPr>
          <t xml:space="preserve">
Vert Tail 2 Estimated Mean Aerodynamic Chord (m)</t>
        </r>
      </text>
    </comment>
    <comment ref="AQ1" authorId="0" shapeId="0" xr:uid="{FAC0C6AE-7FC7-4E5D-BE47-BD1939AC6B92}">
      <text>
        <r>
          <rPr>
            <b/>
            <sz val="9"/>
            <color indexed="81"/>
            <rFont val="Tahoma"/>
            <family val="2"/>
          </rPr>
          <t>John Mah:</t>
        </r>
        <r>
          <rPr>
            <sz val="9"/>
            <color indexed="81"/>
            <rFont val="Tahoma"/>
            <family val="2"/>
          </rPr>
          <t xml:space="preserve">
Vert Tail 2 Interference Factor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H1" authorId="0" shapeId="0" xr:uid="{442E513F-9514-4A9F-8C79-9496BBA500E7}">
      <text>
        <r>
          <rPr>
            <b/>
            <sz val="9"/>
            <color indexed="81"/>
            <rFont val="Tahoma"/>
            <family val="2"/>
          </rPr>
          <t>John Mah:</t>
        </r>
        <r>
          <rPr>
            <sz val="9"/>
            <color indexed="81"/>
            <rFont val="Tahoma"/>
            <family val="2"/>
          </rPr>
          <t xml:space="preserve">
Only input value if measured and known.  Otherwise leave at zero.  Model wiill assume CG is at 30% wing MAC.</t>
        </r>
      </text>
    </comment>
    <comment ref="K1" authorId="0" shapeId="0" xr:uid="{D1CFF7F6-364F-470F-BE67-427DFAEFFF77}">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N1" authorId="0" shapeId="0" xr:uid="{E1EDF8B0-DF13-41A9-87FF-45DA8595709C}">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Q1" authorId="0" shapeId="0" xr:uid="{949CABBE-F5D9-4FF3-9453-BC80D81BB4DA}">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B1" authorId="0" shapeId="0" xr:uid="{7FE322F9-6E2E-4EB7-9F38-99B2E88AB018}">
      <text>
        <r>
          <rPr>
            <b/>
            <sz val="9"/>
            <color indexed="81"/>
            <rFont val="Tahoma"/>
            <family val="2"/>
          </rPr>
          <t>John Mah:</t>
        </r>
        <r>
          <rPr>
            <sz val="9"/>
            <color indexed="81"/>
            <rFont val="Tahoma"/>
            <family val="2"/>
          </rPr>
          <t xml:space="preserve">
0.3 kg/m^2 by manufacture spec.  Convert to density with a standard 5 mm thickness of board (0.005 m^3 volume for 1 x 1 m square board)</t>
        </r>
      </text>
    </comment>
    <comment ref="F1" authorId="0" shapeId="0" xr:uid="{49781EC5-87DB-4C04-BB23-C709ACD23003}">
      <text>
        <r>
          <rPr>
            <b/>
            <sz val="9"/>
            <color indexed="81"/>
            <rFont val="Tahoma"/>
            <charset val="1"/>
          </rPr>
          <t>John Mah:</t>
        </r>
        <r>
          <rPr>
            <sz val="9"/>
            <color indexed="81"/>
            <rFont val="Tahoma"/>
            <charset val="1"/>
          </rPr>
          <t xml:space="preserve">
User specified material density</t>
        </r>
      </text>
    </comment>
    <comment ref="G1" authorId="0" shapeId="0" xr:uid="{469ADA63-A904-412B-B3EB-8094CC785A67}">
      <text>
        <r>
          <rPr>
            <b/>
            <sz val="9"/>
            <color indexed="81"/>
            <rFont val="Tahoma"/>
            <charset val="1"/>
          </rPr>
          <t>John Mah:</t>
        </r>
        <r>
          <rPr>
            <sz val="9"/>
            <color indexed="81"/>
            <rFont val="Tahoma"/>
            <charset val="1"/>
          </rPr>
          <t xml:space="preserve">
User specified material density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<sst xmlns="http://schemas.openxmlformats.org/spreadsheetml/2006/main" count="405" uniqueCount="225">
  <si>
    <t>Length_f</t>
  </si>
  <si>
    <t>Dia_f</t>
  </si>
  <si>
    <t>Fine_f</t>
  </si>
  <si>
    <t>Amax_f</t>
  </si>
  <si>
    <t>Abase_f</t>
  </si>
  <si>
    <t>altitude_o</t>
  </si>
  <si>
    <t>V_o</t>
  </si>
  <si>
    <t>Q_f</t>
  </si>
  <si>
    <t>MAC_h1</t>
  </si>
  <si>
    <t>Thick_h1</t>
  </si>
  <si>
    <t>X_thick_h1</t>
  </si>
  <si>
    <t>Sweep_h1</t>
  </si>
  <si>
    <t>Q_h1</t>
  </si>
  <si>
    <t>MAC_v1</t>
  </si>
  <si>
    <t>Thick_v1</t>
  </si>
  <si>
    <t>X_thick_v1</t>
  </si>
  <si>
    <t>Sweep_v1</t>
  </si>
  <si>
    <t>Q_v1</t>
  </si>
  <si>
    <t>Swet_f</t>
  </si>
  <si>
    <t>Sref-h1</t>
  </si>
  <si>
    <t>Swet_h1</t>
  </si>
  <si>
    <t>Sref-v1</t>
  </si>
  <si>
    <t>Swet_v1</t>
  </si>
  <si>
    <t>Sref-v2</t>
  </si>
  <si>
    <t>Swet_v2</t>
  </si>
  <si>
    <t>MAC_v2</t>
  </si>
  <si>
    <t>Thick_v2</t>
  </si>
  <si>
    <t>X_thick_v2</t>
  </si>
  <si>
    <t>Q_v2</t>
  </si>
  <si>
    <t>Sweep_v2</t>
  </si>
  <si>
    <t>AR_h1</t>
  </si>
  <si>
    <t>Taper_h1</t>
  </si>
  <si>
    <t>AR_v1</t>
  </si>
  <si>
    <t>Taper_v1</t>
  </si>
  <si>
    <t>AR_v2</t>
  </si>
  <si>
    <t>Taper_v2</t>
  </si>
  <si>
    <t>Config</t>
  </si>
  <si>
    <t>Sref_w</t>
  </si>
  <si>
    <t>Swet_w</t>
  </si>
  <si>
    <t>AR_w</t>
  </si>
  <si>
    <t>Taper_w</t>
  </si>
  <si>
    <t>Sweep_w</t>
  </si>
  <si>
    <t>Thick_w</t>
  </si>
  <si>
    <t>X_thick_w</t>
  </si>
  <si>
    <t>Q_w</t>
  </si>
  <si>
    <t>Airfoil_w</t>
  </si>
  <si>
    <t>Airfoil_h1</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</si>
  <si>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</si>
  <si>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</si>
  <si>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</si>
  <si>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</si>
  <si>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</si>
  <si>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</si>
  <si>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</si>
  <si>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</si>
  <si>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</si>
  <si>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</si>
  <si>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</si>
  <si>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</si>
  <si>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</si>
  <si>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</si>
  <si>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</si>
  <si>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</si>
  <si>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</si>
  <si>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</si>
  <si>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</si>
  <si>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</si>
  <si>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</si>
  <si>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</si>
  <si>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</si>
  <si>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</si>
  <si>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</si>
  <si>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</si>
  <si>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</si>
  <si>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</si>
  <si>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</si>
  <si>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</si>
  <si>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</si>
  <si>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</si>
  <si>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</si>
  <si>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</si>
  <si>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</si>
  <si>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</si>
  <si>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</si>
  <si>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</si>
  <si>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</si>
  <si>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</si>
  <si>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</si>
  <si>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</si>
  <si>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AoA</t>
  </si>
  <si>
    <t>CL</t>
  </si>
  <si>
    <t>CD</t>
  </si>
  <si>
    <t>rho_pinkfoam</t>
  </si>
  <si>
    <t>rho_PLA</t>
  </si>
  <si>
    <t>rho_LWPLA</t>
  </si>
  <si>
    <t>rho_balsa</t>
  </si>
  <si>
    <t>kg/m^3</t>
  </si>
  <si>
    <t>rhoA_foamboard</t>
  </si>
  <si>
    <t>Variable Name</t>
  </si>
  <si>
    <t>Units</t>
  </si>
  <si>
    <t>Description</t>
  </si>
  <si>
    <t>User defined configuration number label.  Used to differentiate different designs or trade study variations in designs.</t>
  </si>
  <si>
    <t>m</t>
  </si>
  <si>
    <t>Analysis altitude.  Utilized to find standard atmosphere properties in model via the atmos function.</t>
  </si>
  <si>
    <t>m/s</t>
  </si>
  <si>
    <t>Representative vehicle true velocity. Used to calculate Reynolds number for model analysis of skin friction drag.  Value should be selected to represent the most prevalent or important mission velocity expected.</t>
  </si>
  <si>
    <t>Length of fuselage.</t>
  </si>
  <si>
    <t>Maxium diameter of fuselage.</t>
  </si>
  <si>
    <t>Fuselage fineness ratio.  Determined by dividing fuselage length by fuselage diameter.</t>
  </si>
  <si>
    <t>m^2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</si>
  <si>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</si>
  <si>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</si>
  <si>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</si>
  <si>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</si>
  <si>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</si>
  <si>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</si>
  <si>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</si>
  <si>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</si>
  <si>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</si>
  <si>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</si>
  <si>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</si>
  <si>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</si>
  <si>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</si>
  <si>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</si>
  <si>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</si>
  <si>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</si>
  <si>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</si>
  <si>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</si>
  <si>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</si>
  <si>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</si>
  <si>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</si>
  <si>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</si>
  <si>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</si>
  <si>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</si>
  <si>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</si>
  <si>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</si>
  <si>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</si>
  <si>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</si>
  <si>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</si>
  <si>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</si>
  <si>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</si>
  <si>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</si>
  <si>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</si>
  <si>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</si>
  <si>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</si>
  <si>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</si>
  <si>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</si>
  <si>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</si>
  <si>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2D airfoil coefficient of lift data from -5 deg AoA to 12 deg AoA (as denoted by value XXX after the Cl_)</t>
  </si>
  <si>
    <t>2D airfoil coefficient of drag data from -5 deg AoA to 12 deg AoA (as denoted by value XXX after the Cd_)</t>
  </si>
  <si>
    <t>Minimum value of airfoil coefficient of drag data.</t>
  </si>
  <si>
    <t>Horizontal stabilizer #1 airfoil name.</t>
  </si>
  <si>
    <t>Horizontal stabilizer #1 airfoil thickness to chord ratio.</t>
  </si>
  <si>
    <t>Horizontal stabilizer #1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</si>
  <si>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</si>
  <si>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</si>
  <si>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</si>
  <si>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</si>
  <si>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</si>
  <si>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</si>
  <si>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</si>
  <si>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</si>
  <si>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Fuse_Mat</t>
  </si>
  <si>
    <t>Wing_Mat</t>
  </si>
  <si>
    <t>h1_Mat</t>
  </si>
  <si>
    <t>v1_Mat</t>
  </si>
  <si>
    <t>v2_Mat</t>
  </si>
  <si>
    <t>Material used to fabricate fuselage.  Options limited to those listed in "Material" tab.</t>
  </si>
  <si>
    <t>Material used to fabricate wing.  Options limited to those listed in "Material" tab.</t>
  </si>
  <si>
    <t>Material used to fabricate horizontal stabilizer #1.  Options limited to those listed in "Material" tab.</t>
  </si>
  <si>
    <t>Material used to fabricate vertial stabilizer #1  Options limited to those listed in "Material" tab.</t>
  </si>
  <si>
    <t>Material used to fabricate vertial stabilizer #2  Options limited to those listed in "Material" tab.</t>
  </si>
  <si>
    <t>rho_material_x</t>
  </si>
  <si>
    <t>rho_material_y</t>
  </si>
  <si>
    <t>NONE</t>
  </si>
  <si>
    <t>Xcg_nose</t>
  </si>
  <si>
    <t>Xcg_fuse</t>
  </si>
  <si>
    <t>Xcg_wing</t>
  </si>
  <si>
    <t>Xcg_h1</t>
  </si>
  <si>
    <t>Xcg_v1</t>
  </si>
  <si>
    <t>Xcg_v2</t>
  </si>
  <si>
    <t>Xcg_pay</t>
  </si>
  <si>
    <t>Xcg_ballast</t>
  </si>
  <si>
    <t>X_LE_wing</t>
  </si>
  <si>
    <t>X_LE_h1</t>
  </si>
  <si>
    <t>X_LE_v1</t>
  </si>
  <si>
    <t>X_LE_v2</t>
  </si>
  <si>
    <t>m_nose</t>
  </si>
  <si>
    <t>m_fuse</t>
  </si>
  <si>
    <t>m_wing</t>
  </si>
  <si>
    <t>m_h1</t>
  </si>
  <si>
    <t>m_v1</t>
  </si>
  <si>
    <t>m_v2</t>
  </si>
  <si>
    <t>m_pay</t>
  </si>
  <si>
    <t>m_ballast</t>
  </si>
  <si>
    <t>Component_Data</t>
  </si>
  <si>
    <t>g</t>
  </si>
  <si>
    <t>Measured mass of nosecone.  Set to zero prior to fabrication to estimate using weight model.</t>
  </si>
  <si>
    <t>Measured mass of fuselage (w/out nosecone).  Set to zero prior to fabrication to estimate using weight model.</t>
  </si>
  <si>
    <t>Measured mass of wing.  Set to zero prior to fabrication to estimate using weight model.</t>
  </si>
  <si>
    <t>Measured mass of horz stabilizer #1.  Set to zero prior to fabrication to estimate using weight model.</t>
  </si>
  <si>
    <t>Measured mass of vertical stabilizer #1.  Set to zero prior to fabrication to estimate using weight model.</t>
  </si>
  <si>
    <t>Measured mass of vertical stabilizer #2.  Set to zero prior to fabrication to estimate using weight model.</t>
  </si>
  <si>
    <t>Longitudinal location of nosecone CG.</t>
  </si>
  <si>
    <t>Main_Input</t>
  </si>
  <si>
    <t>Longitudinal location of fuselage CG.  If set to zero, assumes at half the fuselage length.</t>
  </si>
  <si>
    <t>Measured mass of payload.  Must be manually defined (no model).</t>
  </si>
  <si>
    <t>Longitudinal location of payload CG. Must be manually defined (no model)</t>
  </si>
  <si>
    <t>Measured mass of ballast. Must be manually defined (no model)</t>
  </si>
  <si>
    <t>Longitudinal location of ballast CG. Must be manually defined (no model)</t>
  </si>
  <si>
    <t>Thick_f</t>
  </si>
  <si>
    <t>Fuselage wall thickness.</t>
  </si>
  <si>
    <t>Longitudinal location of wing leading edge at root chord based on configuration design.  DO NOT LEAVE AT ZERO.</t>
  </si>
  <si>
    <t>Longitudinal location of horiz stabilizer #1 leading edge at root chord based on configuration design.  DO NOT LEAVE AT ZERO UNLESS NOT PRESENT.</t>
  </si>
  <si>
    <t>Longitudinal location of vertical stabilizer #1 leading edge at root chord based on configuration design.  DO NOT LEAVE AT ZERO UNLESS NOT PRESENT.</t>
  </si>
  <si>
    <t>Longitudinal location of vertical stabilizer #2 leading edge at root chord based on configuration design.  DO NOT LEAVE AT ZERO UNLESS NOT PRESENT.</t>
  </si>
  <si>
    <t>Longitudinal location of wing CG.  If set to zero, models based on wing leading edge position + 30% of MAC.</t>
  </si>
  <si>
    <t>Longitudinal location of horz stabilizer #1 CG.  If set to zero, models based on tail leading edge position + 30% of MAC.</t>
  </si>
  <si>
    <t>Longitudinal location of vertical stabilizer #1 CG. If set to zero, models based on tail leading edge position + 30% of MAC.</t>
  </si>
  <si>
    <t>Longitudinal location of vertical stabilizer #2 CG. If set to zero, models based on tail leading edge position + 30% of MAC.</t>
  </si>
  <si>
    <t>kg/m^2</t>
  </si>
  <si>
    <t>NACA 2412</t>
  </si>
  <si>
    <t>NACA 0010</t>
  </si>
  <si>
    <t>HighAR</t>
  </si>
  <si>
    <t>NACA 0011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</si>
</sst>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0" x14ac:knownFonts="1">
    <font>
      <sz val="11"/>
      <color theme="1"/>
      <name val="Calibri"/>
      <family val="2"/>
      <scheme val="minor"/>
    </font>
    <font>
      <sz val="8"/>
      <name val="Calibri"/>
      <family val="2"/>
      <scheme val="minor"/>
    </font>
    <font>
      <sz val="9"/>
      <color rgb="FF000000"/>
      <name val="Arial"/>
      <family val="2"/>
    </font>
    <font>
      <b/>
      <i/>
      <sz val="9"/>
      <color rgb="FF000000"/>
      <name val="Arial"/>
      <family val="2"/>
    </font>
    <font>
      <sz val="9"/>
      <color indexed="81"/>
      <name val="Tahoma"/>
      <family val="2"/>
    </font>
    <font>
      <b/>
      <sz val="9"/>
      <color indexed="81"/>
      <name val="Tahoma"/>
      <family val="2"/>
    </font>
    <font>
      <b/>
      <sz val="11"/>
      <color theme="1"/>
      <name val="Calibri"/>
      <family val="2"/>
      <scheme val="minor"/>
    </font>
    <font>
      <sz val="10"/>
      <color rgb="FF000000"/>
      <name val="Arial"/>
      <family val="2"/>
    </font>
    <font>
      <sz val="9"/>
      <color indexed="81"/>
      <name val="Tahoma"/>
      <charset val="1"/>
    </font>
    <font>
      <b/>
      <sz val="9"/>
      <color indexed="81"/>
      <name val="Tahoma"/>
      <charset val="1"/>
    </font>
  </fonts>
  <fills count="11">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1"/>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1">
    <xf numFmtId="0" fontId="0" fillId="0" borderId="0" xfId="0"/>
    <xf numFmtId="0" fontId="0" fillId="0" borderId="0" xfId="0" applyAlignment="1">
      <alignment horizont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6" fillId="0" borderId="0" xfId="0" applyFont="1"/>
    <xf numFmtId="0" fontId="0" fillId="0" borderId="0" xfId="0" applyAlignment="1">
      <alignment wrapText="1"/>
    </xf>
    <xf numFmtId="0" fontId="0" fillId="0" borderId="5" xfId="0" applyBorder="1"/>
    <xf numFmtId="0" fontId="0" fillId="0" borderId="5" xfId="0" applyBorder="1" applyAlignment="1">
      <alignment horizontal="center"/>
    </xf>
    <xf numFmtId="0" fontId="0" fillId="0" borderId="5" xfId="0" applyBorder="1" applyAlignment="1">
      <alignment wrapText="1"/>
    </xf>
    <xf numFmtId="0" fontId="6" fillId="3" borderId="5" xfId="0" applyFont="1" applyFill="1" applyBorder="1" applyAlignment="1">
      <alignment horizontal="center"/>
    </xf>
    <xf numFmtId="0" fontId="6" fillId="3" borderId="5" xfId="0" applyFont="1" applyFill="1" applyBorder="1" applyAlignment="1">
      <alignment horizontal="center" wrapText="1"/>
    </xf>
    <xf numFmtId="0" fontId="6" fillId="3" borderId="5" xfId="0" applyFont="1" applyFill="1" applyBorder="1"/>
    <xf numFmtId="0" fontId="2"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7" fillId="0" borderId="0" xfId="0" applyFont="1" applyAlignment="1">
      <alignment vertical="center"/>
    </xf>
    <xf numFmtId="0" fontId="6" fillId="3" borderId="6" xfId="0" applyFont="1" applyFill="1" applyBorder="1"/>
    <xf numFmtId="0" fontId="6" fillId="3" borderId="6" xfId="0" applyFont="1" applyFill="1" applyBorder="1" applyAlignment="1">
      <alignment horizontal="center"/>
    </xf>
    <xf numFmtId="0" fontId="6" fillId="8" borderId="5" xfId="0" applyFont="1" applyFill="1" applyBorder="1" applyAlignment="1">
      <alignment horizontal="center" vertical="center"/>
    </xf>
    <xf numFmtId="0" fontId="0" fillId="0" borderId="5" xfId="0" applyBorder="1" applyAlignment="1">
      <alignment horizontal="center" vertical="center"/>
    </xf>
    <xf numFmtId="164" fontId="0" fillId="0" borderId="5" xfId="0" applyNumberFormat="1" applyBorder="1" applyAlignment="1">
      <alignment horizontal="center" vertical="center"/>
    </xf>
    <xf numFmtId="0" fontId="0" fillId="4" borderId="5" xfId="0" applyFill="1" applyBorder="1" applyAlignment="1">
      <alignment horizontal="center"/>
    </xf>
    <xf numFmtId="0" fontId="0" fillId="5" borderId="5" xfId="0" applyFill="1" applyBorder="1" applyAlignment="1">
      <alignment horizontal="center"/>
    </xf>
    <xf numFmtId="0" fontId="0" fillId="6" borderId="5" xfId="0" applyFill="1" applyBorder="1" applyAlignment="1">
      <alignment horizontal="center"/>
    </xf>
    <xf numFmtId="0" fontId="0" fillId="7" borderId="5" xfId="0" applyFill="1" applyBorder="1" applyAlignment="1">
      <alignment horizontal="center"/>
    </xf>
    <xf numFmtId="0" fontId="0" fillId="8" borderId="5" xfId="0" applyFill="1" applyBorder="1" applyAlignment="1">
      <alignment horizontal="center"/>
    </xf>
    <xf numFmtId="0" fontId="0" fillId="2" borderId="5" xfId="0" applyFill="1" applyBorder="1" applyAlignment="1">
      <alignment horizontal="center"/>
    </xf>
    <xf numFmtId="0" fontId="6" fillId="9" borderId="5" xfId="0" applyFont="1" applyFill="1" applyBorder="1" applyAlignment="1">
      <alignment horizontal="center"/>
    </xf>
    <xf numFmtId="0" fontId="6" fillId="2" borderId="5" xfId="0" applyFont="1" applyFill="1" applyBorder="1" applyAlignment="1">
      <alignment horizontal="center"/>
    </xf>
    <xf numFmtId="0" fontId="0" fillId="10" borderId="5" xfId="0" applyFill="1" applyBorder="1" applyAlignment="1">
      <alignment horizontal="center"/>
    </xf>
    <xf numFmtId="0" fontId="0" fillId="10" borderId="5" xfId="0" applyFill="1" applyBorder="1" applyAlignment="1">
      <alignment horizontal="center" vertical="center"/>
    </xf>
    <xf numFmtId="0" fontId="0" fillId="10"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0.svg"/><Relationship Id="rId5" Type="http://schemas.openxmlformats.org/officeDocument/2006/relationships/image" Target="../media/image9.png"/><Relationship Id="rId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22</xdr:row>
      <xdr:rowOff>0</xdr:rowOff>
    </xdr:from>
    <xdr:to>
      <xdr:col>25</xdr:col>
      <xdr:colOff>152400</xdr:colOff>
      <xdr:row>67</xdr:row>
      <xdr:rowOff>0</xdr:rowOff>
    </xdr:to>
    <xdr:pic>
      <xdr:nvPicPr>
        <xdr:cNvPr id="3" name="Graphic 2">
          <a:extLst>
            <a:ext uri="{FF2B5EF4-FFF2-40B4-BE49-F238E27FC236}">
              <a16:creationId xmlns:a16="http://schemas.microsoft.com/office/drawing/2014/main" id="{FC60DDD4-E582-3D0C-350C-475DA872D80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4191000"/>
          <a:ext cx="15240000" cy="857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15</xdr:col>
      <xdr:colOff>93476</xdr:colOff>
      <xdr:row>20</xdr:row>
      <xdr:rowOff>9525</xdr:rowOff>
    </xdr:to>
    <xdr:pic>
      <xdr:nvPicPr>
        <xdr:cNvPr id="2" name="Picture 1">
          <a:extLst>
            <a:ext uri="{FF2B5EF4-FFF2-40B4-BE49-F238E27FC236}">
              <a16:creationId xmlns:a16="http://schemas.microsoft.com/office/drawing/2014/main" id="{DF72B709-F187-4E1C-BE27-AA34F72870E2}"/>
            </a:ext>
          </a:extLst>
        </xdr:cNvPr>
        <xdr:cNvPicPr/>
      </xdr:nvPicPr>
      <xdr:blipFill>
        <a:blip xmlns:r="http://schemas.openxmlformats.org/officeDocument/2006/relationships" r:embed="rId1"/>
        <a:stretch>
          <a:fillRect/>
        </a:stretch>
      </xdr:blipFill>
      <xdr:spPr>
        <a:xfrm>
          <a:off x="2590800" y="0"/>
          <a:ext cx="7218176" cy="3810000"/>
        </a:xfrm>
        <a:prstGeom prst="rect">
          <a:avLst/>
        </a:prstGeom>
      </xdr:spPr>
    </xdr:pic>
    <xdr:clientData/>
  </xdr:twoCellAnchor>
  <xdr:twoCellAnchor editAs="oneCell">
    <xdr:from>
      <xdr:col>15</xdr:col>
      <xdr:colOff>133350</xdr:colOff>
      <xdr:row>0</xdr:row>
      <xdr:rowOff>66675</xdr:rowOff>
    </xdr:from>
    <xdr:to>
      <xdr:col>22</xdr:col>
      <xdr:colOff>578962</xdr:colOff>
      <xdr:row>20</xdr:row>
      <xdr:rowOff>38100</xdr:rowOff>
    </xdr:to>
    <xdr:pic>
      <xdr:nvPicPr>
        <xdr:cNvPr id="3" name="Picture 2">
          <a:extLst>
            <a:ext uri="{FF2B5EF4-FFF2-40B4-BE49-F238E27FC236}">
              <a16:creationId xmlns:a16="http://schemas.microsoft.com/office/drawing/2014/main" id="{2A20D2DB-2A9F-47E3-964A-10A7FECB4AB4}"/>
            </a:ext>
          </a:extLst>
        </xdr:cNvPr>
        <xdr:cNvPicPr/>
      </xdr:nvPicPr>
      <xdr:blipFill>
        <a:blip xmlns:r="http://schemas.openxmlformats.org/officeDocument/2006/relationships" r:embed="rId2"/>
        <a:stretch>
          <a:fillRect/>
        </a:stretch>
      </xdr:blipFill>
      <xdr:spPr>
        <a:xfrm>
          <a:off x="9848850" y="66675"/>
          <a:ext cx="4979512" cy="3771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GitHub%20Code%20Workspace\BoostGliderLab\Boost_Glide_Version_AY25.01\Instructor%20Version\Design%20Input%20Files\Design%20Input%20File_Instructor_V25-00.xlsx" TargetMode="External"/><Relationship Id="rId1" Type="http://schemas.openxmlformats.org/officeDocument/2006/relationships/externalLinkPath" Target="file:///C:\GitHub-Workspace\BoostGliderLab\Instructor%20Version\Design%20Input%20Files\Design%20Input%20File_Instructor_V25-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riable Reference"/>
      <sheetName val="Main_Input"/>
      <sheetName val="Airfoil_Data"/>
      <sheetName val="Component_Data"/>
      <sheetName val="Materials"/>
      <sheetName val="Benchmark_Truth"/>
      <sheetName val="Geometry Reference"/>
    </sheetNames>
    <sheetDataSet>
      <sheetData sheetId="0"/>
      <sheetData sheetId="1">
        <row r="1">
          <cell r="A1" t="str">
            <v>Config</v>
          </cell>
        </row>
      </sheetData>
      <sheetData sheetId="2"/>
      <sheetData sheetId="3">
        <row r="1">
          <cell r="B1" t="str">
            <v>m_nose</v>
          </cell>
        </row>
      </sheetData>
      <sheetData sheetId="4">
        <row r="1">
          <cell r="A1" t="str">
            <v>rho_pinkfoam</v>
          </cell>
          <cell r="B1" t="str">
            <v>rhoA_foamboard</v>
          </cell>
          <cell r="C1" t="str">
            <v>rho_PLA</v>
          </cell>
          <cell r="D1" t="str">
            <v>rho_LWPLA</v>
          </cell>
          <cell r="E1" t="str">
            <v>rho_balsa</v>
          </cell>
          <cell r="F1" t="str">
            <v>rho_material_x</v>
          </cell>
          <cell r="G1" t="str">
            <v>rho_material_y</v>
          </cell>
          <cell r="H1" t="str">
            <v>NONE</v>
          </cell>
        </row>
      </sheetData>
      <sheetData sheetId="5"/>
      <sheetData sheetId="6"/>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EA422-282A-4DE2-BD24-B68BB0CEE4E3}">
  <dimension ref="A1:D81"/>
  <sheetViews>
    <sheetView topLeftCell="A49" workbookViewId="0">
      <selection activeCell="D77" sqref="D77"/>
    </sheetView>
  </sheetViews>
  <sheetFormatPr defaultRowHeight="15" x14ac:dyDescent="0.25"/>
  <cols>
    <col min="1" max="1" width="16.5703125" bestFit="1" customWidth="1"/>
    <col min="2" max="2" width="13.85546875" bestFit="1" customWidth="1"/>
    <col min="3" max="3" width="11.28515625" style="1" customWidth="1"/>
    <col min="4" max="4" width="108.85546875" style="5" customWidth="1"/>
    <col min="5" max="5" width="24.28515625" bestFit="1" customWidth="1"/>
  </cols>
  <sheetData>
    <row r="1" spans="1:4" x14ac:dyDescent="0.25">
      <c r="A1" s="11" t="s">
        <v>160</v>
      </c>
      <c r="B1" s="9" t="s">
        <v>98</v>
      </c>
      <c r="C1" s="9" t="s">
        <v>99</v>
      </c>
      <c r="D1" s="10" t="s">
        <v>100</v>
      </c>
    </row>
    <row r="2" spans="1:4" ht="30" x14ac:dyDescent="0.25">
      <c r="A2" s="6" t="s">
        <v>204</v>
      </c>
      <c r="B2" s="6" t="str" cm="1">
        <f t="array" ref="B2:B45">TRANSPOSE(Main_Input!A1:AR1)</f>
        <v>Config</v>
      </c>
      <c r="C2" s="7" t="s">
        <v>49</v>
      </c>
      <c r="D2" s="8" t="s">
        <v>101</v>
      </c>
    </row>
    <row r="3" spans="1:4" x14ac:dyDescent="0.25">
      <c r="A3" s="6" t="s">
        <v>204</v>
      </c>
      <c r="B3" s="6" t="str">
        <v>altitude_o</v>
      </c>
      <c r="C3" s="7" t="s">
        <v>102</v>
      </c>
      <c r="D3" s="8" t="s">
        <v>103</v>
      </c>
    </row>
    <row r="4" spans="1:4" ht="30" x14ac:dyDescent="0.25">
      <c r="A4" s="6" t="s">
        <v>204</v>
      </c>
      <c r="B4" s="6" t="str">
        <v>V_o</v>
      </c>
      <c r="C4" s="7" t="s">
        <v>104</v>
      </c>
      <c r="D4" s="8" t="s">
        <v>105</v>
      </c>
    </row>
    <row r="5" spans="1:4" x14ac:dyDescent="0.25">
      <c r="A5" s="6" t="s">
        <v>204</v>
      </c>
      <c r="B5" s="6" t="str">
        <v>Length_f</v>
      </c>
      <c r="C5" s="7" t="s">
        <v>102</v>
      </c>
      <c r="D5" s="8" t="s">
        <v>106</v>
      </c>
    </row>
    <row r="6" spans="1:4" x14ac:dyDescent="0.25">
      <c r="A6" s="6" t="s">
        <v>204</v>
      </c>
      <c r="B6" s="6" t="str">
        <v>Dia_f</v>
      </c>
      <c r="C6" s="7" t="s">
        <v>102</v>
      </c>
      <c r="D6" s="8" t="s">
        <v>107</v>
      </c>
    </row>
    <row r="7" spans="1:4" x14ac:dyDescent="0.25">
      <c r="A7" s="6" t="s">
        <v>204</v>
      </c>
      <c r="B7" s="6" t="str">
        <v>Fine_f</v>
      </c>
      <c r="C7" s="7" t="s">
        <v>49</v>
      </c>
      <c r="D7" s="8" t="s">
        <v>108</v>
      </c>
    </row>
    <row r="8" spans="1:4" x14ac:dyDescent="0.25">
      <c r="A8" s="6" t="s">
        <v>204</v>
      </c>
      <c r="B8" s="6" t="str">
        <v>Thick_f</v>
      </c>
      <c r="C8" s="7" t="s">
        <v>102</v>
      </c>
      <c r="D8" s="8" t="s">
        <v>211</v>
      </c>
    </row>
    <row r="9" spans="1:4" x14ac:dyDescent="0.25">
      <c r="A9" s="6" t="s">
        <v>204</v>
      </c>
      <c r="B9" s="6" t="str">
        <v>Amax_f</v>
      </c>
      <c r="C9" s="7" t="s">
        <v>109</v>
      </c>
      <c r="D9" s="8" t="s">
        <v>110</v>
      </c>
    </row>
    <row r="10" spans="1:4" ht="30" x14ac:dyDescent="0.25">
      <c r="A10" s="6" t="s">
        <v>204</v>
      </c>
      <c r="B10" s="6" t="str">
        <v>Abase_f</v>
      </c>
      <c r="C10" s="7" t="s">
        <v>109</v>
      </c>
      <c r="D10" s="8" t="s">
        <v>111</v>
      </c>
    </row>
    <row r="11" spans="1:4" x14ac:dyDescent="0.25">
      <c r="A11" s="6" t="s">
        <v>204</v>
      </c>
      <c r="B11" s="6" t="str">
        <v>Swet_f</v>
      </c>
      <c r="C11" s="7" t="s">
        <v>109</v>
      </c>
      <c r="D11" s="8" t="s">
        <v>112</v>
      </c>
    </row>
    <row r="12" spans="1:4" ht="30" x14ac:dyDescent="0.25">
      <c r="A12" s="6" t="s">
        <v>204</v>
      </c>
      <c r="B12" s="6" t="str">
        <v>Q_f</v>
      </c>
      <c r="C12" s="7" t="s">
        <v>49</v>
      </c>
      <c r="D12" s="8" t="s">
        <v>113</v>
      </c>
    </row>
    <row r="13" spans="1:4" x14ac:dyDescent="0.25">
      <c r="A13" s="6" t="s">
        <v>204</v>
      </c>
      <c r="B13" s="6" t="str">
        <v>Fuse_Mat</v>
      </c>
      <c r="C13" s="7" t="s">
        <v>49</v>
      </c>
      <c r="D13" s="8" t="s">
        <v>167</v>
      </c>
    </row>
    <row r="14" spans="1:4" ht="30" x14ac:dyDescent="0.25">
      <c r="A14" s="6" t="s">
        <v>204</v>
      </c>
      <c r="B14" s="6" t="str">
        <v>Sref_w</v>
      </c>
      <c r="C14" s="7" t="s">
        <v>109</v>
      </c>
      <c r="D14" s="8" t="s">
        <v>114</v>
      </c>
    </row>
    <row r="15" spans="1:4" ht="30" x14ac:dyDescent="0.25">
      <c r="A15" s="6" t="s">
        <v>204</v>
      </c>
      <c r="B15" s="6" t="str">
        <v>Swet_w</v>
      </c>
      <c r="C15" s="7" t="s">
        <v>109</v>
      </c>
      <c r="D15" s="8" t="s">
        <v>115</v>
      </c>
    </row>
    <row r="16" spans="1:4" x14ac:dyDescent="0.25">
      <c r="A16" s="6" t="s">
        <v>204</v>
      </c>
      <c r="B16" s="6" t="str">
        <v>AR_w</v>
      </c>
      <c r="C16" s="7" t="s">
        <v>49</v>
      </c>
      <c r="D16" s="8" t="s">
        <v>116</v>
      </c>
    </row>
    <row r="17" spans="1:4" x14ac:dyDescent="0.25">
      <c r="A17" s="6" t="s">
        <v>204</v>
      </c>
      <c r="B17" s="6" t="str">
        <v>Taper_w</v>
      </c>
      <c r="C17" s="7" t="s">
        <v>49</v>
      </c>
      <c r="D17" s="8" t="s">
        <v>117</v>
      </c>
    </row>
    <row r="18" spans="1:4" x14ac:dyDescent="0.25">
      <c r="A18" s="6" t="s">
        <v>204</v>
      </c>
      <c r="B18" s="6" t="str">
        <v>Sweep_w</v>
      </c>
      <c r="C18" s="7" t="s">
        <v>118</v>
      </c>
      <c r="D18" s="8" t="s">
        <v>119</v>
      </c>
    </row>
    <row r="19" spans="1:4" x14ac:dyDescent="0.25">
      <c r="A19" s="6" t="s">
        <v>204</v>
      </c>
      <c r="B19" s="6" t="str">
        <v>QuarterSweep_w</v>
      </c>
      <c r="C19" s="7" t="s">
        <v>118</v>
      </c>
      <c r="D19" s="8" t="s">
        <v>120</v>
      </c>
    </row>
    <row r="20" spans="1:4" ht="45" x14ac:dyDescent="0.25">
      <c r="A20" s="6" t="s">
        <v>204</v>
      </c>
      <c r="B20" s="6" t="str">
        <v>Q_w</v>
      </c>
      <c r="C20" s="7" t="s">
        <v>49</v>
      </c>
      <c r="D20" s="8" t="s">
        <v>121</v>
      </c>
    </row>
    <row r="21" spans="1:4" x14ac:dyDescent="0.25">
      <c r="A21" s="6" t="s">
        <v>204</v>
      </c>
      <c r="B21" s="6" t="str">
        <v>Wing_Mat</v>
      </c>
      <c r="C21" s="7" t="s">
        <v>49</v>
      </c>
      <c r="D21" s="8" t="s">
        <v>168</v>
      </c>
    </row>
    <row r="22" spans="1:4" ht="28.5" customHeight="1" x14ac:dyDescent="0.25">
      <c r="A22" s="6" t="s">
        <v>204</v>
      </c>
      <c r="B22" s="6" t="str">
        <v>Sref-h1</v>
      </c>
      <c r="C22" s="7" t="s">
        <v>109</v>
      </c>
      <c r="D22" s="8" t="s">
        <v>122</v>
      </c>
    </row>
    <row r="23" spans="1:4" ht="30" x14ac:dyDescent="0.25">
      <c r="A23" s="6" t="s">
        <v>204</v>
      </c>
      <c r="B23" s="6" t="str">
        <v>Swet_h1</v>
      </c>
      <c r="C23" s="7" t="s">
        <v>109</v>
      </c>
      <c r="D23" s="8" t="s">
        <v>123</v>
      </c>
    </row>
    <row r="24" spans="1:4" x14ac:dyDescent="0.25">
      <c r="A24" s="6" t="s">
        <v>204</v>
      </c>
      <c r="B24" s="6" t="str">
        <v>AR_h1</v>
      </c>
      <c r="C24" s="7" t="s">
        <v>49</v>
      </c>
      <c r="D24" s="8" t="s">
        <v>124</v>
      </c>
    </row>
    <row r="25" spans="1:4" ht="30" x14ac:dyDescent="0.25">
      <c r="A25" s="6" t="s">
        <v>204</v>
      </c>
      <c r="B25" s="6" t="str">
        <v>Taper_h1</v>
      </c>
      <c r="C25" s="7" t="s">
        <v>49</v>
      </c>
      <c r="D25" s="8" t="s">
        <v>125</v>
      </c>
    </row>
    <row r="26" spans="1:4" x14ac:dyDescent="0.25">
      <c r="A26" s="6" t="s">
        <v>204</v>
      </c>
      <c r="B26" s="6" t="str">
        <v>Sweep_h1</v>
      </c>
      <c r="C26" s="7" t="s">
        <v>118</v>
      </c>
      <c r="D26" s="8" t="s">
        <v>126</v>
      </c>
    </row>
    <row r="27" spans="1:4" ht="45" x14ac:dyDescent="0.25">
      <c r="A27" s="6" t="s">
        <v>204</v>
      </c>
      <c r="B27" s="6" t="str">
        <v>MAC_h1</v>
      </c>
      <c r="C27" s="7" t="s">
        <v>102</v>
      </c>
      <c r="D27" s="8" t="s">
        <v>127</v>
      </c>
    </row>
    <row r="28" spans="1:4" ht="45" x14ac:dyDescent="0.25">
      <c r="A28" s="6" t="s">
        <v>204</v>
      </c>
      <c r="B28" s="6" t="str">
        <v>Q_h1</v>
      </c>
      <c r="C28" s="7" t="s">
        <v>49</v>
      </c>
      <c r="D28" s="8" t="s">
        <v>128</v>
      </c>
    </row>
    <row r="29" spans="1:4" x14ac:dyDescent="0.25">
      <c r="A29" s="6" t="s">
        <v>204</v>
      </c>
      <c r="B29" s="6" t="str">
        <v>h1_Mat</v>
      </c>
      <c r="C29" s="1" t="s">
        <v>49</v>
      </c>
      <c r="D29" s="8" t="s">
        <v>169</v>
      </c>
    </row>
    <row r="30" spans="1:4" ht="30" x14ac:dyDescent="0.25">
      <c r="A30" s="6" t="s">
        <v>204</v>
      </c>
      <c r="B30" s="6" t="str">
        <v>Sref-v1</v>
      </c>
      <c r="C30" s="7" t="s">
        <v>109</v>
      </c>
      <c r="D30" s="8" t="s">
        <v>134</v>
      </c>
    </row>
    <row r="31" spans="1:4" ht="30" x14ac:dyDescent="0.25">
      <c r="A31" s="6" t="s">
        <v>204</v>
      </c>
      <c r="B31" s="6" t="str">
        <v>Swet_v1</v>
      </c>
      <c r="C31" s="7" t="s">
        <v>109</v>
      </c>
      <c r="D31" s="8" t="s">
        <v>129</v>
      </c>
    </row>
    <row r="32" spans="1:4" x14ac:dyDescent="0.25">
      <c r="A32" s="6" t="s">
        <v>204</v>
      </c>
      <c r="B32" s="6" t="str">
        <v>AR_v1</v>
      </c>
      <c r="C32" s="7" t="s">
        <v>49</v>
      </c>
      <c r="D32" s="8" t="s">
        <v>130</v>
      </c>
    </row>
    <row r="33" spans="1:4" ht="30" x14ac:dyDescent="0.25">
      <c r="A33" s="6" t="s">
        <v>204</v>
      </c>
      <c r="B33" s="6" t="str">
        <v>Taper_v1</v>
      </c>
      <c r="C33" s="7" t="s">
        <v>49</v>
      </c>
      <c r="D33" s="8" t="s">
        <v>131</v>
      </c>
    </row>
    <row r="34" spans="1:4" x14ac:dyDescent="0.25">
      <c r="A34" s="6" t="s">
        <v>204</v>
      </c>
      <c r="B34" s="6" t="str">
        <v>Sweep_v1</v>
      </c>
      <c r="C34" s="7" t="s">
        <v>118</v>
      </c>
      <c r="D34" s="8" t="s">
        <v>132</v>
      </c>
    </row>
    <row r="35" spans="1:4" ht="30" x14ac:dyDescent="0.25">
      <c r="A35" s="6" t="s">
        <v>204</v>
      </c>
      <c r="B35" s="6" t="str">
        <v>MAC_v1</v>
      </c>
      <c r="C35" s="7" t="s">
        <v>102</v>
      </c>
      <c r="D35" s="8" t="s">
        <v>133</v>
      </c>
    </row>
    <row r="36" spans="1:4" ht="45" x14ac:dyDescent="0.25">
      <c r="A36" s="6" t="s">
        <v>204</v>
      </c>
      <c r="B36" s="6" t="str">
        <v>Q_v1</v>
      </c>
      <c r="C36" s="7" t="s">
        <v>49</v>
      </c>
      <c r="D36" s="8" t="s">
        <v>135</v>
      </c>
    </row>
    <row r="37" spans="1:4" x14ac:dyDescent="0.25">
      <c r="A37" s="6" t="s">
        <v>204</v>
      </c>
      <c r="B37" s="6" t="str">
        <v>v1_Mat</v>
      </c>
      <c r="C37" s="1" t="s">
        <v>49</v>
      </c>
      <c r="D37" s="8" t="s">
        <v>170</v>
      </c>
    </row>
    <row r="38" spans="1:4" ht="30" x14ac:dyDescent="0.25">
      <c r="A38" s="6" t="s">
        <v>204</v>
      </c>
      <c r="B38" s="6" t="str">
        <v>Sref-v2</v>
      </c>
      <c r="C38" s="7" t="s">
        <v>109</v>
      </c>
      <c r="D38" s="8" t="s">
        <v>136</v>
      </c>
    </row>
    <row r="39" spans="1:4" ht="30" x14ac:dyDescent="0.25">
      <c r="A39" s="6" t="s">
        <v>204</v>
      </c>
      <c r="B39" s="6" t="str">
        <v>Swet_v2</v>
      </c>
      <c r="C39" s="7" t="s">
        <v>109</v>
      </c>
      <c r="D39" s="8" t="s">
        <v>137</v>
      </c>
    </row>
    <row r="40" spans="1:4" x14ac:dyDescent="0.25">
      <c r="A40" s="6" t="s">
        <v>204</v>
      </c>
      <c r="B40" s="6" t="str">
        <v>AR_v2</v>
      </c>
      <c r="C40" s="7" t="s">
        <v>49</v>
      </c>
      <c r="D40" s="8" t="s">
        <v>138</v>
      </c>
    </row>
    <row r="41" spans="1:4" ht="30" x14ac:dyDescent="0.25">
      <c r="A41" s="6" t="s">
        <v>204</v>
      </c>
      <c r="B41" s="6" t="str">
        <v>Taper_v2</v>
      </c>
      <c r="C41" s="7" t="s">
        <v>49</v>
      </c>
      <c r="D41" s="8" t="s">
        <v>139</v>
      </c>
    </row>
    <row r="42" spans="1:4" x14ac:dyDescent="0.25">
      <c r="A42" s="6" t="s">
        <v>204</v>
      </c>
      <c r="B42" s="6" t="str">
        <v>Sweep_v2</v>
      </c>
      <c r="C42" s="7" t="s">
        <v>118</v>
      </c>
      <c r="D42" s="8" t="s">
        <v>140</v>
      </c>
    </row>
    <row r="43" spans="1:4" ht="30" x14ac:dyDescent="0.25">
      <c r="A43" s="6" t="s">
        <v>204</v>
      </c>
      <c r="B43" s="6" t="str">
        <v>MAC_v2</v>
      </c>
      <c r="C43" s="7" t="s">
        <v>102</v>
      </c>
      <c r="D43" s="8" t="s">
        <v>141</v>
      </c>
    </row>
    <row r="44" spans="1:4" ht="45" x14ac:dyDescent="0.25">
      <c r="A44" s="6" t="s">
        <v>204</v>
      </c>
      <c r="B44" s="6" t="str">
        <v>Q_v2</v>
      </c>
      <c r="C44" s="7" t="s">
        <v>49</v>
      </c>
      <c r="D44" s="8" t="s">
        <v>142</v>
      </c>
    </row>
    <row r="45" spans="1:4" x14ac:dyDescent="0.25">
      <c r="A45" s="6" t="s">
        <v>204</v>
      </c>
      <c r="B45" s="6" t="str">
        <v>v2_Mat</v>
      </c>
      <c r="C45" s="1" t="s">
        <v>49</v>
      </c>
      <c r="D45" s="8" t="s">
        <v>171</v>
      </c>
    </row>
    <row r="46" spans="1:4" x14ac:dyDescent="0.25">
      <c r="A46" s="6" t="s">
        <v>161</v>
      </c>
      <c r="B46" s="6" t="s">
        <v>45</v>
      </c>
      <c r="C46" s="7" t="s">
        <v>49</v>
      </c>
      <c r="D46" s="8" t="s">
        <v>145</v>
      </c>
    </row>
    <row r="47" spans="1:4" x14ac:dyDescent="0.25">
      <c r="A47" s="6" t="s">
        <v>161</v>
      </c>
      <c r="B47" s="6" t="s">
        <v>42</v>
      </c>
      <c r="C47" s="7" t="s">
        <v>49</v>
      </c>
      <c r="D47" s="8" t="s">
        <v>146</v>
      </c>
    </row>
    <row r="48" spans="1:4" x14ac:dyDescent="0.25">
      <c r="A48" s="6" t="s">
        <v>161</v>
      </c>
      <c r="B48" s="6" t="s">
        <v>43</v>
      </c>
      <c r="C48" s="7" t="s">
        <v>49</v>
      </c>
      <c r="D48" s="8" t="s">
        <v>147</v>
      </c>
    </row>
    <row r="49" spans="1:4" x14ac:dyDescent="0.25">
      <c r="A49" s="6" t="s">
        <v>161</v>
      </c>
      <c r="B49" s="6" t="s">
        <v>144</v>
      </c>
      <c r="C49" s="7" t="s">
        <v>49</v>
      </c>
      <c r="D49" s="8" t="s">
        <v>148</v>
      </c>
    </row>
    <row r="50" spans="1:4" x14ac:dyDescent="0.25">
      <c r="A50" s="6" t="s">
        <v>161</v>
      </c>
      <c r="B50" s="6" t="s">
        <v>143</v>
      </c>
      <c r="C50" s="7" t="s">
        <v>49</v>
      </c>
      <c r="D50" s="8" t="s">
        <v>149</v>
      </c>
    </row>
    <row r="51" spans="1:4" x14ac:dyDescent="0.25">
      <c r="A51" s="6" t="s">
        <v>161</v>
      </c>
      <c r="B51" s="6" t="s">
        <v>87</v>
      </c>
      <c r="C51" s="7" t="s">
        <v>49</v>
      </c>
      <c r="D51" s="8" t="s">
        <v>150</v>
      </c>
    </row>
    <row r="52" spans="1:4" x14ac:dyDescent="0.25">
      <c r="A52" s="6" t="s">
        <v>161</v>
      </c>
      <c r="B52" s="6" t="s">
        <v>46</v>
      </c>
      <c r="C52" s="7" t="s">
        <v>49</v>
      </c>
      <c r="D52" s="8" t="s">
        <v>151</v>
      </c>
    </row>
    <row r="53" spans="1:4" x14ac:dyDescent="0.25">
      <c r="A53" s="6" t="s">
        <v>161</v>
      </c>
      <c r="B53" s="6" t="s">
        <v>9</v>
      </c>
      <c r="C53" s="7" t="s">
        <v>49</v>
      </c>
      <c r="D53" s="8" t="s">
        <v>152</v>
      </c>
    </row>
    <row r="54" spans="1:4" x14ac:dyDescent="0.25">
      <c r="A54" s="6" t="s">
        <v>161</v>
      </c>
      <c r="B54" s="6" t="s">
        <v>10</v>
      </c>
      <c r="C54" s="7" t="s">
        <v>49</v>
      </c>
      <c r="D54" s="8" t="s">
        <v>153</v>
      </c>
    </row>
    <row r="55" spans="1:4" x14ac:dyDescent="0.25">
      <c r="A55" s="6" t="s">
        <v>161</v>
      </c>
      <c r="B55" s="6" t="s">
        <v>47</v>
      </c>
      <c r="C55" s="7" t="s">
        <v>49</v>
      </c>
      <c r="D55" s="8" t="s">
        <v>154</v>
      </c>
    </row>
    <row r="56" spans="1:4" x14ac:dyDescent="0.25">
      <c r="A56" s="6" t="s">
        <v>161</v>
      </c>
      <c r="B56" s="6" t="s">
        <v>14</v>
      </c>
      <c r="C56" s="7" t="s">
        <v>49</v>
      </c>
      <c r="D56" s="8" t="s">
        <v>155</v>
      </c>
    </row>
    <row r="57" spans="1:4" x14ac:dyDescent="0.25">
      <c r="A57" s="6" t="s">
        <v>161</v>
      </c>
      <c r="B57" s="6" t="s">
        <v>15</v>
      </c>
      <c r="C57" s="7" t="s">
        <v>49</v>
      </c>
      <c r="D57" s="8" t="s">
        <v>156</v>
      </c>
    </row>
    <row r="58" spans="1:4" x14ac:dyDescent="0.25">
      <c r="A58" s="6" t="s">
        <v>161</v>
      </c>
      <c r="B58" s="6" t="s">
        <v>48</v>
      </c>
      <c r="C58" s="7" t="s">
        <v>49</v>
      </c>
      <c r="D58" s="8" t="s">
        <v>157</v>
      </c>
    </row>
    <row r="59" spans="1:4" x14ac:dyDescent="0.25">
      <c r="A59" s="6" t="s">
        <v>161</v>
      </c>
      <c r="B59" s="6" t="s">
        <v>26</v>
      </c>
      <c r="C59" s="7" t="s">
        <v>49</v>
      </c>
      <c r="D59" s="8" t="s">
        <v>158</v>
      </c>
    </row>
    <row r="60" spans="1:4" x14ac:dyDescent="0.25">
      <c r="A60" s="6" t="s">
        <v>161</v>
      </c>
      <c r="B60" s="6" t="s">
        <v>27</v>
      </c>
      <c r="C60" s="7" t="s">
        <v>49</v>
      </c>
      <c r="D60" s="8" t="s">
        <v>159</v>
      </c>
    </row>
    <row r="61" spans="1:4" ht="16.5" customHeight="1" x14ac:dyDescent="0.25">
      <c r="A61" s="6" t="s">
        <v>195</v>
      </c>
      <c r="B61" s="6" t="str" cm="1">
        <f t="array" ref="B61:B81">TRANSPOSE(Component_Data!A1:U1)</f>
        <v>Config</v>
      </c>
      <c r="C61" s="1" t="s">
        <v>49</v>
      </c>
      <c r="D61" s="8" t="s">
        <v>101</v>
      </c>
    </row>
    <row r="62" spans="1:4" x14ac:dyDescent="0.25">
      <c r="A62" s="6" t="s">
        <v>195</v>
      </c>
      <c r="B62" s="6" t="str">
        <v>m_nose</v>
      </c>
      <c r="C62" s="7" t="s">
        <v>196</v>
      </c>
      <c r="D62" s="8" t="s">
        <v>197</v>
      </c>
    </row>
    <row r="63" spans="1:4" x14ac:dyDescent="0.25">
      <c r="A63" s="6" t="s">
        <v>195</v>
      </c>
      <c r="B63" s="6" t="str">
        <v>Xcg_nose</v>
      </c>
      <c r="C63" s="7" t="s">
        <v>102</v>
      </c>
      <c r="D63" s="8" t="s">
        <v>203</v>
      </c>
    </row>
    <row r="64" spans="1:4" x14ac:dyDescent="0.25">
      <c r="A64" s="6" t="s">
        <v>195</v>
      </c>
      <c r="B64" s="6" t="str">
        <v>m_fuse</v>
      </c>
      <c r="C64" s="7" t="s">
        <v>196</v>
      </c>
      <c r="D64" s="8" t="s">
        <v>198</v>
      </c>
    </row>
    <row r="65" spans="1:4" x14ac:dyDescent="0.25">
      <c r="A65" s="6" t="s">
        <v>195</v>
      </c>
      <c r="B65" s="6" t="str">
        <v>Xcg_fuse</v>
      </c>
      <c r="C65" s="7" t="s">
        <v>102</v>
      </c>
      <c r="D65" s="8" t="s">
        <v>205</v>
      </c>
    </row>
    <row r="66" spans="1:4" x14ac:dyDescent="0.25">
      <c r="A66" s="6" t="s">
        <v>195</v>
      </c>
      <c r="B66" s="6" t="str">
        <v>m_wing</v>
      </c>
      <c r="C66" s="7" t="s">
        <v>196</v>
      </c>
      <c r="D66" s="8" t="s">
        <v>199</v>
      </c>
    </row>
    <row r="67" spans="1:4" x14ac:dyDescent="0.25">
      <c r="A67" s="6" t="s">
        <v>195</v>
      </c>
      <c r="B67" s="6" t="str">
        <v>X_LE_wing</v>
      </c>
      <c r="C67" s="7" t="s">
        <v>102</v>
      </c>
      <c r="D67" s="8" t="s">
        <v>212</v>
      </c>
    </row>
    <row r="68" spans="1:4" x14ac:dyDescent="0.25">
      <c r="A68" s="6" t="s">
        <v>195</v>
      </c>
      <c r="B68" s="6" t="str">
        <v>Xcg_wing</v>
      </c>
      <c r="C68" s="7" t="s">
        <v>102</v>
      </c>
      <c r="D68" s="8" t="s">
        <v>216</v>
      </c>
    </row>
    <row r="69" spans="1:4" x14ac:dyDescent="0.25">
      <c r="A69" s="6" t="s">
        <v>195</v>
      </c>
      <c r="B69" s="6" t="str">
        <v>m_h1</v>
      </c>
      <c r="C69" s="7" t="s">
        <v>196</v>
      </c>
      <c r="D69" s="8" t="s">
        <v>200</v>
      </c>
    </row>
    <row r="70" spans="1:4" ht="30" x14ac:dyDescent="0.25">
      <c r="A70" s="6" t="s">
        <v>195</v>
      </c>
      <c r="B70" s="6" t="str">
        <v>X_LE_h1</v>
      </c>
      <c r="C70" s="7" t="s">
        <v>102</v>
      </c>
      <c r="D70" s="8" t="s">
        <v>213</v>
      </c>
    </row>
    <row r="71" spans="1:4" ht="18" customHeight="1" x14ac:dyDescent="0.25">
      <c r="A71" s="6" t="s">
        <v>195</v>
      </c>
      <c r="B71" s="6" t="str">
        <v>Xcg_h1</v>
      </c>
      <c r="C71" s="7" t="s">
        <v>102</v>
      </c>
      <c r="D71" s="8" t="s">
        <v>217</v>
      </c>
    </row>
    <row r="72" spans="1:4" x14ac:dyDescent="0.25">
      <c r="A72" s="6" t="s">
        <v>195</v>
      </c>
      <c r="B72" s="6" t="str">
        <v>m_v1</v>
      </c>
      <c r="C72" s="7" t="s">
        <v>196</v>
      </c>
      <c r="D72" s="8" t="s">
        <v>201</v>
      </c>
    </row>
    <row r="73" spans="1:4" ht="30" x14ac:dyDescent="0.25">
      <c r="A73" s="6" t="s">
        <v>195</v>
      </c>
      <c r="B73" s="6" t="str">
        <v>X_LE_v1</v>
      </c>
      <c r="C73" s="7" t="s">
        <v>102</v>
      </c>
      <c r="D73" s="8" t="s">
        <v>214</v>
      </c>
    </row>
    <row r="74" spans="1:4" ht="18.75" customHeight="1" x14ac:dyDescent="0.25">
      <c r="A74" s="6" t="s">
        <v>195</v>
      </c>
      <c r="B74" s="6" t="str">
        <v>Xcg_v1</v>
      </c>
      <c r="C74" s="7" t="s">
        <v>102</v>
      </c>
      <c r="D74" s="8" t="s">
        <v>218</v>
      </c>
    </row>
    <row r="75" spans="1:4" x14ac:dyDescent="0.25">
      <c r="A75" s="6" t="s">
        <v>195</v>
      </c>
      <c r="B75" s="6" t="str">
        <v>m_v2</v>
      </c>
      <c r="C75" s="7" t="s">
        <v>196</v>
      </c>
      <c r="D75" s="8" t="s">
        <v>202</v>
      </c>
    </row>
    <row r="76" spans="1:4" ht="30" x14ac:dyDescent="0.25">
      <c r="A76" s="6" t="s">
        <v>195</v>
      </c>
      <c r="B76" s="6" t="str">
        <v>X_LE_v2</v>
      </c>
      <c r="C76" s="7" t="s">
        <v>102</v>
      </c>
      <c r="D76" s="8" t="s">
        <v>215</v>
      </c>
    </row>
    <row r="77" spans="1:4" ht="16.5" customHeight="1" x14ac:dyDescent="0.25">
      <c r="A77" s="6" t="s">
        <v>195</v>
      </c>
      <c r="B77" s="6" t="str">
        <v>Xcg_v2</v>
      </c>
      <c r="C77" s="7" t="s">
        <v>102</v>
      </c>
      <c r="D77" s="8" t="s">
        <v>219</v>
      </c>
    </row>
    <row r="78" spans="1:4" x14ac:dyDescent="0.25">
      <c r="A78" s="6" t="s">
        <v>195</v>
      </c>
      <c r="B78" s="6" t="str">
        <v>m_pay</v>
      </c>
      <c r="C78" s="7" t="s">
        <v>196</v>
      </c>
      <c r="D78" s="8" t="s">
        <v>206</v>
      </c>
    </row>
    <row r="79" spans="1:4" x14ac:dyDescent="0.25">
      <c r="A79" s="6" t="s">
        <v>195</v>
      </c>
      <c r="B79" s="6" t="str">
        <v>Xcg_pay</v>
      </c>
      <c r="C79" s="7" t="s">
        <v>102</v>
      </c>
      <c r="D79" s="8" t="s">
        <v>207</v>
      </c>
    </row>
    <row r="80" spans="1:4" x14ac:dyDescent="0.25">
      <c r="A80" s="6" t="s">
        <v>195</v>
      </c>
      <c r="B80" s="6" t="str">
        <v>m_ballast</v>
      </c>
      <c r="C80" s="7" t="s">
        <v>196</v>
      </c>
      <c r="D80" s="8" t="s">
        <v>208</v>
      </c>
    </row>
    <row r="81" spans="1:4" x14ac:dyDescent="0.25">
      <c r="A81" s="6" t="s">
        <v>195</v>
      </c>
      <c r="B81" s="6" t="str">
        <v>Xcg_ballast</v>
      </c>
      <c r="C81" s="7" t="s">
        <v>102</v>
      </c>
      <c r="D81" s="8" t="s">
        <v>209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R21"/>
  <sheetViews>
    <sheetView workbookViewId="0">
      <selection activeCell="A22" sqref="A22:AR22"/>
    </sheetView>
  </sheetViews>
  <sheetFormatPr defaultColWidth="8.85546875" defaultRowHeight="15" x14ac:dyDescent="0.25"/>
  <cols>
    <col min="1" max="1" width="10.7109375" style="7" customWidth="1"/>
    <col min="2" max="2" width="10.5703125" style="7" customWidth="1"/>
    <col min="3" max="11" width="8.85546875" style="7"/>
    <col min="12" max="12" width="15.7109375" style="7" bestFit="1" customWidth="1"/>
    <col min="13" max="13" width="6.85546875" style="7" customWidth="1"/>
    <col min="14" max="14" width="8.85546875" style="7"/>
    <col min="15" max="15" width="12" style="7" bestFit="1" customWidth="1"/>
    <col min="16" max="17" width="8.85546875" style="7"/>
    <col min="18" max="18" width="16.140625" style="7" bestFit="1" customWidth="1"/>
    <col min="19" max="19" width="8.85546875" style="7"/>
    <col min="20" max="20" width="15.7109375" style="7" bestFit="1" customWidth="1"/>
    <col min="21" max="27" width="8.85546875" style="7"/>
    <col min="28" max="28" width="15.7109375" style="7" bestFit="1" customWidth="1"/>
    <col min="29" max="30" width="8.85546875" style="7"/>
    <col min="31" max="31" width="12" style="7" bestFit="1" customWidth="1"/>
    <col min="32" max="35" width="8.85546875" style="7"/>
    <col min="36" max="36" width="16.7109375" style="7" customWidth="1"/>
    <col min="37" max="43" width="8.85546875" style="7"/>
    <col min="44" max="44" width="20.28515625" style="7" customWidth="1"/>
    <col min="45" max="16384" width="8.85546875" style="7"/>
  </cols>
  <sheetData>
    <row r="1" spans="1:44" x14ac:dyDescent="0.25">
      <c r="A1" s="20" t="s">
        <v>36</v>
      </c>
      <c r="B1" s="20" t="s">
        <v>5</v>
      </c>
      <c r="C1" s="20" t="s">
        <v>6</v>
      </c>
      <c r="D1" s="20" t="s">
        <v>0</v>
      </c>
      <c r="E1" s="20" t="s">
        <v>1</v>
      </c>
      <c r="F1" s="20" t="s">
        <v>2</v>
      </c>
      <c r="G1" s="20" t="s">
        <v>210</v>
      </c>
      <c r="H1" s="20" t="s">
        <v>3</v>
      </c>
      <c r="I1" s="20" t="s">
        <v>4</v>
      </c>
      <c r="J1" s="20" t="s">
        <v>18</v>
      </c>
      <c r="K1" s="20" t="s">
        <v>7</v>
      </c>
      <c r="L1" s="20" t="s">
        <v>162</v>
      </c>
      <c r="M1" s="21" t="s">
        <v>37</v>
      </c>
      <c r="N1" s="21" t="s">
        <v>38</v>
      </c>
      <c r="O1" s="21" t="s">
        <v>39</v>
      </c>
      <c r="P1" s="21" t="s">
        <v>40</v>
      </c>
      <c r="Q1" s="21" t="s">
        <v>41</v>
      </c>
      <c r="R1" s="21" t="s">
        <v>88</v>
      </c>
      <c r="S1" s="21" t="s">
        <v>44</v>
      </c>
      <c r="T1" s="21" t="s">
        <v>163</v>
      </c>
      <c r="U1" s="22" t="s">
        <v>19</v>
      </c>
      <c r="V1" s="22" t="s">
        <v>20</v>
      </c>
      <c r="W1" s="22" t="s">
        <v>30</v>
      </c>
      <c r="X1" s="22" t="s">
        <v>31</v>
      </c>
      <c r="Y1" s="22" t="s">
        <v>11</v>
      </c>
      <c r="Z1" s="22" t="s">
        <v>8</v>
      </c>
      <c r="AA1" s="22" t="s">
        <v>12</v>
      </c>
      <c r="AB1" s="22" t="s">
        <v>164</v>
      </c>
      <c r="AC1" s="23" t="s">
        <v>21</v>
      </c>
      <c r="AD1" s="23" t="s">
        <v>22</v>
      </c>
      <c r="AE1" s="23" t="s">
        <v>32</v>
      </c>
      <c r="AF1" s="23" t="s">
        <v>33</v>
      </c>
      <c r="AG1" s="23" t="s">
        <v>16</v>
      </c>
      <c r="AH1" s="23" t="s">
        <v>13</v>
      </c>
      <c r="AI1" s="23" t="s">
        <v>17</v>
      </c>
      <c r="AJ1" s="23" t="s">
        <v>165</v>
      </c>
      <c r="AK1" s="24" t="s">
        <v>23</v>
      </c>
      <c r="AL1" s="24" t="s">
        <v>24</v>
      </c>
      <c r="AM1" s="24" t="s">
        <v>34</v>
      </c>
      <c r="AN1" s="24" t="s">
        <v>35</v>
      </c>
      <c r="AO1" s="24" t="s">
        <v>29</v>
      </c>
      <c r="AP1" s="24" t="s">
        <v>25</v>
      </c>
      <c r="AQ1" s="24" t="s">
        <v>28</v>
      </c>
      <c r="AR1" s="24" t="s">
        <v>166</v>
      </c>
    </row>
    <row r="3" spans="1:44" x14ac:dyDescent="0.25">
      <c r="A3" s="7" t="s">
        <v>223</v>
      </c>
      <c r="B3" s="7">
        <v>1600</v>
      </c>
      <c r="C3" s="7">
        <v>10.5</v>
      </c>
      <c r="D3" s="7">
        <v>0.7</v>
      </c>
      <c r="E3" s="7">
        <v>0.08</v>
      </c>
      <c r="F3" s="7">
        <v>8.75</v>
      </c>
      <c r="G3" s="7">
        <v>2E-3</v>
      </c>
      <c r="H3" s="7">
        <v>5.0299999999999997E-3</v>
      </c>
      <c r="I3" s="7">
        <v>5.0299999999999997E-3</v>
      </c>
      <c r="J3" s="7">
        <v>0.17599999999999999</v>
      </c>
      <c r="K3" s="7">
        <v>1.18</v>
      </c>
      <c r="L3" s="7" t="s">
        <v>92</v>
      </c>
      <c r="M3" s="7">
        <v>0.08</v>
      </c>
      <c r="N3" s="7">
        <v>0.16800000000000001</v>
      </c>
      <c r="O3" s="7">
        <v>12.5</v>
      </c>
      <c r="P3" s="7">
        <v>0.4</v>
      </c>
      <c r="Q3" s="7">
        <v>0</v>
      </c>
      <c r="R3" s="7">
        <v>0</v>
      </c>
      <c r="S3" s="7">
        <v>1.06</v>
      </c>
      <c r="T3" s="7" t="s">
        <v>92</v>
      </c>
      <c r="U3" s="7">
        <v>1.6E-2</v>
      </c>
      <c r="V3" s="7">
        <v>3.2000000000000001E-2</v>
      </c>
      <c r="W3" s="7">
        <v>5</v>
      </c>
      <c r="X3" s="7">
        <v>0.5</v>
      </c>
      <c r="Y3" s="7">
        <v>0</v>
      </c>
      <c r="Z3" s="7">
        <v>5.6599999999999998E-2</v>
      </c>
      <c r="AA3" s="7">
        <v>1.08</v>
      </c>
      <c r="AB3" s="7" t="s">
        <v>95</v>
      </c>
      <c r="AC3" s="7">
        <v>0</v>
      </c>
      <c r="AD3" s="7">
        <v>0</v>
      </c>
      <c r="AE3" s="7">
        <v>0</v>
      </c>
      <c r="AF3" s="7">
        <v>0</v>
      </c>
      <c r="AG3" s="7">
        <v>0</v>
      </c>
      <c r="AH3" s="7">
        <v>0</v>
      </c>
      <c r="AI3" s="7">
        <v>0</v>
      </c>
      <c r="AJ3" s="7" t="s">
        <v>174</v>
      </c>
      <c r="AK3" s="7">
        <v>0</v>
      </c>
      <c r="AL3" s="7">
        <v>0</v>
      </c>
      <c r="AM3" s="7">
        <v>0</v>
      </c>
      <c r="AN3" s="7">
        <v>0</v>
      </c>
      <c r="AO3" s="7">
        <v>0</v>
      </c>
      <c r="AP3" s="7">
        <v>0</v>
      </c>
      <c r="AQ3" s="7">
        <v>0</v>
      </c>
      <c r="AR3" s="7" t="s">
        <v>174</v>
      </c>
    </row>
    <row r="21" s="28" customFormat="1" x14ac:dyDescent="0.25"/>
  </sheetData>
  <dataValidations count="1">
    <dataValidation type="list" allowBlank="1" showInputMessage="1" showErrorMessage="1" sqref="AB3:AB21 AB23:AB51 L3:L21 L23:L51 T3:T21 T23:T51 AR3:AR21 AR23:AR51 AJ3:AJ21 AJ23:AJ51" xr:uid="{F18DD44F-5AC9-42F9-970E-83AFBD39DB9D}">
      <formula1>MATERIALS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AY21"/>
  <sheetViews>
    <sheetView workbookViewId="0">
      <selection activeCell="B24" sqref="B24"/>
    </sheetView>
  </sheetViews>
  <sheetFormatPr defaultColWidth="8.85546875" defaultRowHeight="15" x14ac:dyDescent="0.25"/>
  <cols>
    <col min="1" max="1" width="10.85546875" style="18" bestFit="1" customWidth="1"/>
    <col min="2" max="2" width="11.85546875" style="18" bestFit="1" customWidth="1"/>
    <col min="3" max="42" width="8.85546875" style="18"/>
    <col min="43" max="43" width="11.85546875" style="18" bestFit="1" customWidth="1"/>
    <col min="44" max="44" width="8.85546875" style="18"/>
    <col min="45" max="45" width="9.85546875" style="18" bestFit="1" customWidth="1"/>
    <col min="46" max="46" width="10.28515625" style="18" bestFit="1" customWidth="1"/>
    <col min="47" max="47" width="8.85546875" style="18"/>
    <col min="48" max="48" width="10.28515625" style="18" bestFit="1" customWidth="1"/>
    <col min="49" max="49" width="11.85546875" style="18" bestFit="1" customWidth="1"/>
    <col min="50" max="50" width="8.85546875" style="18"/>
    <col min="51" max="51" width="11.5703125" style="18" customWidth="1"/>
    <col min="52" max="16384" width="8.85546875" style="18"/>
  </cols>
  <sheetData>
    <row r="1" spans="1:51" x14ac:dyDescent="0.25">
      <c r="A1" s="17" t="s">
        <v>36</v>
      </c>
      <c r="B1" s="17" t="s">
        <v>45</v>
      </c>
      <c r="C1" s="17" t="s">
        <v>42</v>
      </c>
      <c r="D1" s="17" t="s">
        <v>43</v>
      </c>
      <c r="E1" s="17" t="s">
        <v>50</v>
      </c>
      <c r="F1" s="17" t="s">
        <v>51</v>
      </c>
      <c r="G1" s="17" t="s">
        <v>52</v>
      </c>
      <c r="H1" s="17" t="s">
        <v>53</v>
      </c>
      <c r="I1" s="17" t="s">
        <v>54</v>
      </c>
      <c r="J1" s="17" t="s">
        <v>55</v>
      </c>
      <c r="K1" s="17" t="s">
        <v>56</v>
      </c>
      <c r="L1" s="17" t="s">
        <v>57</v>
      </c>
      <c r="M1" s="17" t="s">
        <v>58</v>
      </c>
      <c r="N1" s="17" t="s">
        <v>59</v>
      </c>
      <c r="O1" s="17" t="s">
        <v>60</v>
      </c>
      <c r="P1" s="17" t="s">
        <v>61</v>
      </c>
      <c r="Q1" s="17" t="s">
        <v>62</v>
      </c>
      <c r="R1" s="17" t="s">
        <v>63</v>
      </c>
      <c r="S1" s="17" t="s">
        <v>64</v>
      </c>
      <c r="T1" s="17" t="s">
        <v>65</v>
      </c>
      <c r="U1" s="17" t="s">
        <v>66</v>
      </c>
      <c r="V1" s="17" t="s">
        <v>67</v>
      </c>
      <c r="W1" s="17" t="s">
        <v>68</v>
      </c>
      <c r="X1" s="17" t="s">
        <v>69</v>
      </c>
      <c r="Y1" s="17" t="s">
        <v>70</v>
      </c>
      <c r="Z1" s="17" t="s">
        <v>71</v>
      </c>
      <c r="AA1" s="17" t="s">
        <v>72</v>
      </c>
      <c r="AB1" s="17" t="s">
        <v>73</v>
      </c>
      <c r="AC1" s="17" t="s">
        <v>74</v>
      </c>
      <c r="AD1" s="17" t="s">
        <v>75</v>
      </c>
      <c r="AE1" s="17" t="s">
        <v>76</v>
      </c>
      <c r="AF1" s="17" t="s">
        <v>77</v>
      </c>
      <c r="AG1" s="17" t="s">
        <v>78</v>
      </c>
      <c r="AH1" s="17" t="s">
        <v>79</v>
      </c>
      <c r="AI1" s="17" t="s">
        <v>80</v>
      </c>
      <c r="AJ1" s="17" t="s">
        <v>81</v>
      </c>
      <c r="AK1" s="17" t="s">
        <v>82</v>
      </c>
      <c r="AL1" s="17" t="s">
        <v>83</v>
      </c>
      <c r="AM1" s="17" t="s">
        <v>84</v>
      </c>
      <c r="AN1" s="17" t="s">
        <v>85</v>
      </c>
      <c r="AO1" s="17" t="s">
        <v>86</v>
      </c>
      <c r="AP1" s="17" t="s">
        <v>87</v>
      </c>
      <c r="AQ1" s="17" t="s">
        <v>46</v>
      </c>
      <c r="AR1" s="17" t="s">
        <v>9</v>
      </c>
      <c r="AS1" s="17" t="s">
        <v>10</v>
      </c>
      <c r="AT1" s="17" t="s">
        <v>47</v>
      </c>
      <c r="AU1" s="17" t="s">
        <v>14</v>
      </c>
      <c r="AV1" s="17" t="s">
        <v>15</v>
      </c>
      <c r="AW1" s="17" t="s">
        <v>48</v>
      </c>
      <c r="AX1" s="17" t="s">
        <v>26</v>
      </c>
      <c r="AY1" s="17" t="s">
        <v>27</v>
      </c>
    </row>
    <row r="3" spans="1:51" x14ac:dyDescent="0.25">
      <c r="A3" s="18" t="str">
        <f>Main_Input!A3</f>
        <v>HighAR</v>
      </c>
      <c r="B3" s="18" t="s">
        <v>221</v>
      </c>
      <c r="C3" s="18">
        <v>0.12</v>
      </c>
      <c r="D3" s="18">
        <v>0.3</v>
      </c>
      <c r="E3" s="18">
        <v>-0.28499999999999998</v>
      </c>
      <c r="F3" s="18">
        <v>-0.19</v>
      </c>
      <c r="G3" s="18">
        <v>-9.5000000000000001E-2</v>
      </c>
      <c r="H3" s="18">
        <v>0</v>
      </c>
      <c r="I3" s="18">
        <v>9.5000000000000001E-2</v>
      </c>
      <c r="J3" s="18">
        <v>0.19</v>
      </c>
      <c r="K3" s="18">
        <v>0.28499999999999998</v>
      </c>
      <c r="L3" s="18">
        <v>0.38</v>
      </c>
      <c r="M3" s="18">
        <v>0.47499999999999998</v>
      </c>
      <c r="N3" s="18">
        <v>0.56999999999999995</v>
      </c>
      <c r="O3" s="18">
        <v>0.66500000000000004</v>
      </c>
      <c r="P3" s="18">
        <v>0.76</v>
      </c>
      <c r="Q3" s="18">
        <v>0.85499999999999998</v>
      </c>
      <c r="R3" s="18">
        <v>0.95</v>
      </c>
      <c r="S3" s="18">
        <v>1.0449999999999999</v>
      </c>
      <c r="T3" s="18">
        <v>1.1399999999999999</v>
      </c>
      <c r="U3" s="18">
        <v>1.1499999999999999</v>
      </c>
      <c r="V3" s="18">
        <v>1.05</v>
      </c>
      <c r="W3" s="18">
        <v>1.1499999999999999</v>
      </c>
      <c r="X3" s="19">
        <v>3.8109999999999998E-2</v>
      </c>
      <c r="Y3" s="19">
        <v>3.313E-2</v>
      </c>
      <c r="Z3" s="19">
        <v>2.9219999999999999E-2</v>
      </c>
      <c r="AA3" s="19">
        <v>0.26400000000000001</v>
      </c>
      <c r="AB3" s="19">
        <v>2.4660000000000001E-2</v>
      </c>
      <c r="AC3" s="19">
        <v>2.401E-2</v>
      </c>
      <c r="AD3" s="19">
        <v>2.443E-2</v>
      </c>
      <c r="AE3" s="19">
        <v>2.5940000000000001E-2</v>
      </c>
      <c r="AF3" s="19">
        <v>2.8539999999999999E-2</v>
      </c>
      <c r="AG3" s="19">
        <v>3.2210000000000003E-2</v>
      </c>
      <c r="AH3" s="19">
        <v>3.6970000000000003E-2</v>
      </c>
      <c r="AI3" s="19">
        <v>4.2819999999999997E-2</v>
      </c>
      <c r="AJ3" s="19">
        <v>4.9739999999999999E-2</v>
      </c>
      <c r="AK3" s="19">
        <v>5.7750000000000003E-2</v>
      </c>
      <c r="AL3" s="19">
        <v>6.6839999999999997E-2</v>
      </c>
      <c r="AM3" s="19">
        <v>7.7020000000000005E-2</v>
      </c>
      <c r="AN3" s="19">
        <v>9.8150000000000001E-2</v>
      </c>
      <c r="AO3" s="19">
        <v>0.10735</v>
      </c>
      <c r="AP3" s="18">
        <v>2.4E-2</v>
      </c>
      <c r="AQ3" s="18" t="s">
        <v>222</v>
      </c>
      <c r="AR3" s="18">
        <v>0.09</v>
      </c>
      <c r="AS3" s="18">
        <v>0.3</v>
      </c>
      <c r="AT3" s="18" t="s">
        <v>224</v>
      </c>
      <c r="AU3" s="18">
        <v>0.1</v>
      </c>
      <c r="AV3" s="18">
        <v>0.3</v>
      </c>
      <c r="AW3" s="18" t="s">
        <v>224</v>
      </c>
      <c r="AX3" s="18">
        <v>0.1</v>
      </c>
      <c r="AY3" s="18">
        <v>0.3</v>
      </c>
    </row>
    <row r="4" spans="1:51" x14ac:dyDescent="0.25">
      <c r="X4" s="19"/>
      <c r="Y4" s="19"/>
      <c r="Z4" s="19"/>
      <c r="AA4" s="19"/>
      <c r="AB4" s="19"/>
      <c r="AC4" s="19"/>
      <c r="AD4" s="19"/>
      <c r="AE4" s="19"/>
      <c r="AF4" s="19"/>
      <c r="AG4" s="19"/>
      <c r="AH4" s="19"/>
      <c r="AI4" s="19"/>
      <c r="AJ4" s="19"/>
      <c r="AK4" s="19"/>
      <c r="AL4" s="19"/>
      <c r="AM4" s="19"/>
      <c r="AN4" s="19"/>
      <c r="AO4" s="19"/>
    </row>
    <row r="21" s="29" customFormat="1" x14ac:dyDescent="0.2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1E0C-C3D7-4E6E-9445-AF10F5AA801D}">
  <dimension ref="A1:U21"/>
  <sheetViews>
    <sheetView tabSelected="1" workbookViewId="0">
      <selection activeCell="I11" sqref="I11"/>
    </sheetView>
  </sheetViews>
  <sheetFormatPr defaultColWidth="8.85546875" defaultRowHeight="15" x14ac:dyDescent="0.25"/>
  <cols>
    <col min="1" max="6" width="8.85546875" style="1"/>
    <col min="7" max="7" width="10" style="1" bestFit="1" customWidth="1"/>
    <col min="8" max="17" width="8.85546875" style="1"/>
    <col min="18" max="18" width="10.140625" style="1" customWidth="1"/>
    <col min="19" max="19" width="8.85546875" style="1"/>
    <col min="20" max="20" width="9.5703125" style="1" bestFit="1" customWidth="1"/>
    <col min="21" max="21" width="10.5703125" style="1" bestFit="1" customWidth="1"/>
    <col min="22" max="16384" width="8.85546875" style="1"/>
  </cols>
  <sheetData>
    <row r="1" spans="1:21" x14ac:dyDescent="0.25">
      <c r="A1" s="26" t="s">
        <v>36</v>
      </c>
      <c r="B1" s="26" t="s">
        <v>187</v>
      </c>
      <c r="C1" s="26" t="s">
        <v>175</v>
      </c>
      <c r="D1" s="26" t="s">
        <v>188</v>
      </c>
      <c r="E1" s="26" t="s">
        <v>176</v>
      </c>
      <c r="F1" s="26" t="s">
        <v>189</v>
      </c>
      <c r="G1" s="27" t="s">
        <v>183</v>
      </c>
      <c r="H1" s="26" t="s">
        <v>177</v>
      </c>
      <c r="I1" s="26" t="s">
        <v>190</v>
      </c>
      <c r="J1" s="27" t="s">
        <v>184</v>
      </c>
      <c r="K1" s="26" t="s">
        <v>178</v>
      </c>
      <c r="L1" s="26" t="s">
        <v>191</v>
      </c>
      <c r="M1" s="27" t="s">
        <v>185</v>
      </c>
      <c r="N1" s="26" t="s">
        <v>179</v>
      </c>
      <c r="O1" s="26" t="s">
        <v>192</v>
      </c>
      <c r="P1" s="27" t="s">
        <v>186</v>
      </c>
      <c r="Q1" s="26" t="s">
        <v>180</v>
      </c>
      <c r="R1" s="26" t="s">
        <v>193</v>
      </c>
      <c r="S1" s="26" t="s">
        <v>181</v>
      </c>
      <c r="T1" s="26" t="s">
        <v>194</v>
      </c>
      <c r="U1" s="26" t="s">
        <v>182</v>
      </c>
    </row>
    <row r="3" spans="1:21" x14ac:dyDescent="0.25">
      <c r="A3" s="7" t="s">
        <v>223</v>
      </c>
      <c r="B3" s="7">
        <v>0.02</v>
      </c>
      <c r="C3" s="7">
        <v>0.05</v>
      </c>
      <c r="D3" s="7">
        <v>0.09</v>
      </c>
      <c r="E3" s="7">
        <v>0.33</v>
      </c>
      <c r="F3" s="7">
        <v>0.17</v>
      </c>
      <c r="G3" s="7">
        <v>0.3</v>
      </c>
      <c r="H3" s="7">
        <v>0.33600000000000002</v>
      </c>
      <c r="I3" s="7">
        <v>4.4999999999999998E-2</v>
      </c>
      <c r="J3" s="7">
        <v>0.62</v>
      </c>
      <c r="K3" s="7">
        <v>0.64400000000000002</v>
      </c>
      <c r="L3" s="7">
        <v>2.5000000000000001E-2</v>
      </c>
      <c r="M3" s="7">
        <v>0.61799999999999999</v>
      </c>
      <c r="N3" s="7">
        <v>0.64600000000000002</v>
      </c>
      <c r="O3" s="7">
        <v>0</v>
      </c>
      <c r="P3" s="7">
        <v>0</v>
      </c>
      <c r="Q3" s="7">
        <v>0</v>
      </c>
      <c r="R3" s="7">
        <v>0.16</v>
      </c>
      <c r="S3" s="7">
        <v>0.33</v>
      </c>
      <c r="T3" s="7">
        <v>1.4999999999999999E-2</v>
      </c>
      <c r="U3" s="7">
        <v>0.09</v>
      </c>
    </row>
    <row r="4" spans="1:21" x14ac:dyDescent="0.25">
      <c r="A4" s="7"/>
      <c r="B4" s="7"/>
      <c r="C4" s="7"/>
      <c r="D4" s="7"/>
      <c r="E4" s="7"/>
      <c r="F4" s="7"/>
      <c r="G4" s="7"/>
      <c r="H4" s="7"/>
      <c r="I4" s="7"/>
      <c r="J4" s="7"/>
      <c r="K4" s="7"/>
      <c r="L4" s="7"/>
      <c r="M4" s="7"/>
      <c r="N4" s="7"/>
      <c r="O4" s="7"/>
      <c r="P4" s="7"/>
      <c r="Q4" s="7"/>
      <c r="R4" s="7"/>
      <c r="S4" s="7"/>
      <c r="T4" s="7"/>
      <c r="U4" s="7"/>
    </row>
    <row r="5" spans="1:21" x14ac:dyDescent="0.25">
      <c r="A5" s="7"/>
      <c r="B5" s="7"/>
      <c r="C5" s="7"/>
      <c r="D5" s="7"/>
      <c r="E5" s="7"/>
      <c r="F5" s="7"/>
      <c r="G5" s="7"/>
      <c r="H5" s="7"/>
      <c r="I5" s="7"/>
      <c r="J5" s="7"/>
      <c r="K5" s="7"/>
      <c r="L5" s="7"/>
      <c r="M5" s="7"/>
      <c r="N5" s="7"/>
      <c r="O5" s="7"/>
      <c r="P5" s="7"/>
      <c r="Q5" s="7"/>
      <c r="R5" s="7"/>
      <c r="S5" s="7"/>
      <c r="T5" s="7"/>
      <c r="U5" s="7"/>
    </row>
    <row r="6" spans="1:21" x14ac:dyDescent="0.25">
      <c r="A6" s="7"/>
      <c r="B6" s="7"/>
      <c r="C6" s="7"/>
      <c r="D6" s="7"/>
      <c r="E6" s="7"/>
      <c r="F6" s="7"/>
      <c r="G6" s="7"/>
      <c r="H6" s="7"/>
      <c r="I6" s="7"/>
      <c r="J6" s="7"/>
      <c r="K6" s="7"/>
      <c r="L6" s="7"/>
      <c r="M6" s="7"/>
      <c r="N6" s="7"/>
      <c r="O6" s="7"/>
      <c r="P6" s="7"/>
      <c r="Q6" s="7"/>
      <c r="R6" s="7"/>
      <c r="S6" s="7"/>
      <c r="T6" s="7"/>
      <c r="U6" s="7"/>
    </row>
    <row r="7" spans="1:21" x14ac:dyDescent="0.25">
      <c r="A7" s="7"/>
      <c r="B7" s="7"/>
      <c r="C7" s="7"/>
      <c r="D7" s="7"/>
      <c r="E7" s="7"/>
      <c r="F7" s="7"/>
      <c r="G7" s="7"/>
      <c r="H7" s="7"/>
      <c r="I7" s="7"/>
      <c r="J7" s="7"/>
      <c r="K7" s="7"/>
      <c r="L7" s="7"/>
      <c r="M7" s="7"/>
      <c r="N7" s="7"/>
      <c r="O7" s="7"/>
      <c r="P7" s="7"/>
      <c r="Q7" s="7"/>
      <c r="R7" s="7"/>
      <c r="S7" s="7"/>
      <c r="T7" s="7"/>
      <c r="U7" s="7"/>
    </row>
    <row r="8" spans="1:21" x14ac:dyDescent="0.25">
      <c r="A8" s="7"/>
      <c r="B8" s="7"/>
      <c r="C8" s="7"/>
      <c r="D8" s="7"/>
      <c r="E8" s="7"/>
      <c r="F8" s="7"/>
      <c r="G8" s="7"/>
      <c r="H8" s="7"/>
      <c r="I8" s="7"/>
      <c r="J8" s="7"/>
      <c r="K8" s="7"/>
      <c r="L8" s="7"/>
      <c r="M8" s="7"/>
      <c r="N8" s="7"/>
      <c r="O8" s="7"/>
      <c r="P8" s="7"/>
      <c r="Q8" s="7"/>
      <c r="R8" s="7"/>
      <c r="S8" s="7"/>
      <c r="T8" s="7"/>
      <c r="U8" s="7"/>
    </row>
    <row r="9" spans="1:21" x14ac:dyDescent="0.25">
      <c r="A9" s="7"/>
      <c r="B9" s="7"/>
      <c r="C9" s="7"/>
      <c r="D9" s="7"/>
      <c r="E9" s="7"/>
      <c r="F9" s="7"/>
      <c r="G9" s="7"/>
      <c r="H9" s="7"/>
      <c r="I9" s="7"/>
      <c r="J9" s="7"/>
      <c r="K9" s="7"/>
      <c r="L9" s="7"/>
      <c r="M9" s="7"/>
      <c r="N9" s="7"/>
      <c r="O9" s="7"/>
      <c r="P9" s="7"/>
      <c r="Q9" s="7"/>
      <c r="R9" s="7"/>
      <c r="S9" s="7"/>
      <c r="T9" s="7"/>
      <c r="U9" s="7"/>
    </row>
    <row r="10" spans="1:21" x14ac:dyDescent="0.25">
      <c r="A10" s="7"/>
      <c r="B10" s="7"/>
      <c r="C10" s="7"/>
      <c r="D10" s="7"/>
      <c r="E10" s="7"/>
      <c r="F10" s="7"/>
      <c r="G10" s="7"/>
      <c r="H10" s="7"/>
      <c r="I10" s="7"/>
      <c r="J10" s="7"/>
      <c r="K10" s="7"/>
      <c r="L10" s="7"/>
      <c r="M10" s="7"/>
      <c r="N10" s="7"/>
      <c r="O10" s="7"/>
      <c r="P10" s="7"/>
      <c r="Q10" s="7"/>
      <c r="R10" s="7"/>
      <c r="S10" s="7"/>
      <c r="T10" s="7"/>
      <c r="U10" s="7"/>
    </row>
    <row r="11" spans="1:21" x14ac:dyDescent="0.25">
      <c r="A11" s="7"/>
      <c r="B11" s="7"/>
      <c r="C11" s="7"/>
      <c r="D11" s="7"/>
      <c r="E11" s="7"/>
      <c r="F11" s="7"/>
      <c r="G11" s="7"/>
      <c r="H11" s="7"/>
      <c r="I11" s="7"/>
      <c r="J11" s="7"/>
      <c r="K11" s="7"/>
      <c r="L11" s="7"/>
      <c r="M11" s="7"/>
      <c r="N11" s="7"/>
      <c r="O11" s="7"/>
      <c r="P11" s="7"/>
      <c r="Q11" s="7"/>
      <c r="R11" s="7"/>
      <c r="S11" s="7"/>
      <c r="T11" s="7"/>
      <c r="U11" s="7"/>
    </row>
    <row r="12" spans="1:21" x14ac:dyDescent="0.25">
      <c r="A12" s="7"/>
      <c r="B12" s="7"/>
      <c r="C12" s="7"/>
      <c r="D12" s="7"/>
      <c r="E12" s="7"/>
      <c r="F12" s="7"/>
      <c r="G12" s="7"/>
      <c r="H12" s="7"/>
      <c r="I12" s="7"/>
      <c r="J12" s="7"/>
      <c r="K12" s="7"/>
      <c r="L12" s="7"/>
      <c r="M12" s="7"/>
      <c r="N12" s="7"/>
      <c r="O12" s="7"/>
      <c r="P12" s="7"/>
      <c r="Q12" s="7"/>
      <c r="R12" s="7"/>
      <c r="S12" s="7"/>
      <c r="T12" s="7"/>
      <c r="U12" s="7"/>
    </row>
    <row r="13" spans="1:21" x14ac:dyDescent="0.25">
      <c r="A13" s="7"/>
      <c r="B13" s="7"/>
      <c r="C13" s="7"/>
      <c r="D13" s="7"/>
      <c r="E13" s="7"/>
      <c r="F13" s="7"/>
      <c r="G13" s="7"/>
      <c r="H13" s="7"/>
      <c r="I13" s="7"/>
      <c r="J13" s="7"/>
      <c r="K13" s="7"/>
      <c r="L13" s="7"/>
      <c r="M13" s="7"/>
      <c r="N13" s="7"/>
      <c r="O13" s="7"/>
      <c r="P13" s="7"/>
      <c r="Q13" s="7"/>
      <c r="R13" s="7"/>
      <c r="S13" s="7"/>
      <c r="T13" s="7"/>
      <c r="U13" s="7"/>
    </row>
    <row r="14" spans="1:21" x14ac:dyDescent="0.25">
      <c r="A14" s="7"/>
      <c r="B14" s="7"/>
      <c r="C14" s="7"/>
      <c r="D14" s="7"/>
      <c r="E14" s="7"/>
      <c r="F14" s="7"/>
      <c r="G14" s="7"/>
      <c r="H14" s="7"/>
      <c r="I14" s="7"/>
      <c r="J14" s="7"/>
      <c r="K14" s="7"/>
      <c r="L14" s="7"/>
      <c r="M14" s="7"/>
      <c r="N14" s="7"/>
      <c r="O14" s="7"/>
      <c r="P14" s="7"/>
      <c r="Q14" s="7"/>
      <c r="R14" s="7"/>
      <c r="S14" s="7"/>
      <c r="T14" s="7"/>
      <c r="U14" s="7"/>
    </row>
    <row r="15" spans="1:21" x14ac:dyDescent="0.25">
      <c r="A15" s="7"/>
      <c r="B15" s="7"/>
      <c r="C15" s="7"/>
      <c r="D15" s="7"/>
      <c r="E15" s="7"/>
      <c r="F15" s="7"/>
      <c r="G15" s="7"/>
      <c r="H15" s="7"/>
      <c r="I15" s="7"/>
      <c r="J15" s="7"/>
      <c r="K15" s="7"/>
      <c r="L15" s="7"/>
      <c r="M15" s="7"/>
      <c r="N15" s="7"/>
      <c r="O15" s="7"/>
      <c r="P15" s="7"/>
      <c r="Q15" s="7"/>
      <c r="R15" s="7"/>
      <c r="S15" s="7"/>
      <c r="T15" s="7"/>
      <c r="U15" s="7"/>
    </row>
    <row r="16" spans="1:21" x14ac:dyDescent="0.25">
      <c r="A16" s="7"/>
      <c r="B16" s="7"/>
      <c r="C16" s="7"/>
      <c r="D16" s="7"/>
      <c r="E16" s="7"/>
      <c r="F16" s="7"/>
      <c r="G16" s="7"/>
      <c r="H16" s="7"/>
      <c r="I16" s="7"/>
      <c r="J16" s="7"/>
      <c r="K16" s="7"/>
      <c r="L16" s="7"/>
      <c r="M16" s="7"/>
      <c r="N16" s="7"/>
      <c r="O16" s="7"/>
      <c r="P16" s="7"/>
      <c r="Q16" s="7"/>
      <c r="R16" s="7"/>
      <c r="S16" s="7"/>
      <c r="T16" s="7"/>
      <c r="U16" s="7"/>
    </row>
    <row r="17" spans="1:21" x14ac:dyDescent="0.25">
      <c r="A17" s="7"/>
      <c r="B17" s="7"/>
      <c r="C17" s="7"/>
      <c r="D17" s="7"/>
      <c r="E17" s="7"/>
      <c r="F17" s="7"/>
      <c r="G17" s="7"/>
      <c r="H17" s="7"/>
      <c r="I17" s="7"/>
      <c r="J17" s="7"/>
      <c r="K17" s="7"/>
      <c r="L17" s="7"/>
      <c r="M17" s="7"/>
      <c r="N17" s="7"/>
      <c r="O17" s="7"/>
      <c r="P17" s="7"/>
      <c r="Q17" s="7"/>
      <c r="R17" s="7"/>
      <c r="S17" s="7"/>
      <c r="T17" s="7"/>
      <c r="U17" s="7"/>
    </row>
    <row r="18" spans="1:21" x14ac:dyDescent="0.25">
      <c r="A18" s="7"/>
      <c r="B18" s="7"/>
      <c r="C18" s="7"/>
      <c r="D18" s="7"/>
      <c r="E18" s="7"/>
      <c r="F18" s="7"/>
      <c r="G18" s="7"/>
      <c r="H18" s="7"/>
      <c r="I18" s="7"/>
      <c r="J18" s="7"/>
      <c r="K18" s="7"/>
      <c r="L18" s="7"/>
      <c r="M18" s="7"/>
      <c r="N18" s="7"/>
      <c r="O18" s="7"/>
      <c r="P18" s="7"/>
      <c r="Q18" s="7"/>
      <c r="R18" s="7"/>
      <c r="S18" s="7"/>
      <c r="T18" s="7"/>
      <c r="U18" s="7"/>
    </row>
    <row r="19" spans="1:21" x14ac:dyDescent="0.25">
      <c r="A19" s="7"/>
      <c r="B19" s="7"/>
      <c r="C19" s="7"/>
      <c r="D19" s="7"/>
      <c r="E19" s="7"/>
      <c r="F19" s="7"/>
      <c r="G19" s="7"/>
      <c r="H19" s="7"/>
      <c r="I19" s="7"/>
      <c r="J19" s="7"/>
      <c r="K19" s="7"/>
      <c r="L19" s="7"/>
      <c r="M19" s="7"/>
      <c r="N19" s="7"/>
      <c r="O19" s="7"/>
      <c r="P19" s="7"/>
      <c r="Q19" s="7"/>
      <c r="R19" s="7"/>
      <c r="S19" s="7"/>
      <c r="T19" s="7"/>
      <c r="U19" s="7"/>
    </row>
    <row r="20" spans="1:21" x14ac:dyDescent="0.25">
      <c r="A20" s="7"/>
      <c r="B20" s="7"/>
      <c r="C20" s="7"/>
      <c r="D20" s="7"/>
      <c r="E20" s="7"/>
      <c r="F20" s="7"/>
      <c r="G20" s="7"/>
      <c r="H20" s="7"/>
      <c r="I20" s="7"/>
      <c r="J20" s="7"/>
      <c r="K20" s="7"/>
      <c r="L20" s="7"/>
      <c r="M20" s="7"/>
      <c r="N20" s="7"/>
      <c r="O20" s="7"/>
      <c r="P20" s="7"/>
      <c r="Q20" s="7"/>
      <c r="R20" s="7"/>
      <c r="S20" s="7"/>
      <c r="T20" s="7"/>
      <c r="U20" s="7"/>
    </row>
    <row r="21" spans="1:21" s="30" customFormat="1" x14ac:dyDescent="0.25"/>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F1BF-02F4-4EE1-B48A-F04EDABB7E7E}">
  <dimension ref="A1:H3"/>
  <sheetViews>
    <sheetView workbookViewId="0">
      <selection activeCell="G1" sqref="G1"/>
    </sheetView>
  </sheetViews>
  <sheetFormatPr defaultRowHeight="15" x14ac:dyDescent="0.25"/>
  <cols>
    <col min="1" max="1" width="13.28515625" bestFit="1" customWidth="1"/>
    <col min="2" max="2" width="15.7109375" bestFit="1" customWidth="1"/>
    <col min="3" max="3" width="8.140625" bestFit="1" customWidth="1"/>
    <col min="4" max="4" width="10.7109375" bestFit="1" customWidth="1"/>
    <col min="5" max="5" width="9.28515625" bestFit="1" customWidth="1"/>
    <col min="6" max="6" width="14.140625" customWidth="1"/>
    <col min="7" max="8" width="14.140625" bestFit="1" customWidth="1"/>
  </cols>
  <sheetData>
    <row r="1" spans="1:8" x14ac:dyDescent="0.25">
      <c r="A1" s="11" t="s">
        <v>92</v>
      </c>
      <c r="B1" s="11" t="s">
        <v>97</v>
      </c>
      <c r="C1" s="11" t="s">
        <v>93</v>
      </c>
      <c r="D1" s="11" t="s">
        <v>94</v>
      </c>
      <c r="E1" s="11" t="s">
        <v>95</v>
      </c>
      <c r="F1" s="15" t="s">
        <v>172</v>
      </c>
      <c r="G1" s="15" t="s">
        <v>173</v>
      </c>
      <c r="H1" s="16" t="s">
        <v>174</v>
      </c>
    </row>
    <row r="2" spans="1:8" x14ac:dyDescent="0.25">
      <c r="A2" s="7">
        <v>20.8</v>
      </c>
      <c r="B2" s="7">
        <v>0.29499999999999998</v>
      </c>
      <c r="C2" s="7">
        <v>1240</v>
      </c>
      <c r="D2" s="7">
        <v>800</v>
      </c>
      <c r="E2" s="7">
        <v>96.1</v>
      </c>
      <c r="F2" s="25">
        <v>1400</v>
      </c>
      <c r="G2" s="25">
        <v>1800</v>
      </c>
      <c r="H2" s="7">
        <v>0</v>
      </c>
    </row>
    <row r="3" spans="1:8" x14ac:dyDescent="0.25">
      <c r="A3" s="7" t="s">
        <v>96</v>
      </c>
      <c r="B3" s="7" t="s">
        <v>220</v>
      </c>
      <c r="C3" s="7" t="s">
        <v>96</v>
      </c>
      <c r="D3" s="7" t="s">
        <v>96</v>
      </c>
      <c r="E3" s="7" t="s">
        <v>96</v>
      </c>
      <c r="F3" s="7" t="s">
        <v>96</v>
      </c>
      <c r="G3" s="7" t="s">
        <v>96</v>
      </c>
      <c r="H3" s="7" t="s">
        <v>96</v>
      </c>
    </row>
  </sheetData>
  <phoneticPr fontId="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7039A-DE36-48A7-B09A-20ABDB8A0C39}">
  <dimension ref="A1:F21"/>
  <sheetViews>
    <sheetView topLeftCell="B1" workbookViewId="0">
      <selection activeCell="L37" sqref="L37"/>
    </sheetView>
  </sheetViews>
  <sheetFormatPr defaultRowHeight="15" x14ac:dyDescent="0.25"/>
  <sheetData>
    <row r="1" spans="1:3" ht="15.75" thickBot="1" x14ac:dyDescent="0.3">
      <c r="A1" s="12" t="s">
        <v>89</v>
      </c>
      <c r="B1" s="13" t="s">
        <v>90</v>
      </c>
      <c r="C1" s="13" t="s">
        <v>91</v>
      </c>
    </row>
    <row r="2" spans="1:3" ht="15.75" thickBot="1" x14ac:dyDescent="0.3">
      <c r="A2" s="2">
        <v>-5</v>
      </c>
      <c r="B2" s="3">
        <v>-0.32438</v>
      </c>
      <c r="C2" s="3">
        <v>4.4250999999999999E-2</v>
      </c>
    </row>
    <row r="3" spans="1:3" ht="15.75" thickBot="1" x14ac:dyDescent="0.3">
      <c r="A3" s="2">
        <v>-4</v>
      </c>
      <c r="B3" s="3">
        <v>-0.21503</v>
      </c>
      <c r="C3" s="3">
        <v>3.3783000000000001E-2</v>
      </c>
    </row>
    <row r="4" spans="1:3" ht="15.75" thickBot="1" x14ac:dyDescent="0.3">
      <c r="A4" s="2">
        <v>-3</v>
      </c>
      <c r="B4" s="3">
        <v>-0.10081</v>
      </c>
      <c r="C4" s="3">
        <v>2.8627E-2</v>
      </c>
    </row>
    <row r="5" spans="1:3" ht="15.75" thickBot="1" x14ac:dyDescent="0.3">
      <c r="A5" s="2">
        <v>-2</v>
      </c>
      <c r="B5" s="3">
        <v>1.0503E-2</v>
      </c>
      <c r="C5" s="3">
        <v>2.5864000000000002E-2</v>
      </c>
    </row>
    <row r="6" spans="1:3" ht="15.75" thickBot="1" x14ac:dyDescent="0.3">
      <c r="A6" s="2">
        <v>-1</v>
      </c>
      <c r="B6" s="3">
        <v>0.12155000000000001</v>
      </c>
      <c r="C6" s="3">
        <v>2.4643000000000002E-2</v>
      </c>
    </row>
    <row r="7" spans="1:3" ht="15.75" thickBot="1" x14ac:dyDescent="0.3">
      <c r="A7" s="2">
        <v>0</v>
      </c>
      <c r="B7" s="3">
        <v>0.24163000000000001</v>
      </c>
      <c r="C7" s="3">
        <v>2.5099E-2</v>
      </c>
    </row>
    <row r="8" spans="1:3" ht="15.75" thickBot="1" x14ac:dyDescent="0.3">
      <c r="A8" s="2">
        <v>1</v>
      </c>
      <c r="B8" s="3">
        <v>0.34336</v>
      </c>
      <c r="C8" s="3">
        <v>2.5635000000000002E-2</v>
      </c>
    </row>
    <row r="9" spans="1:3" ht="15.75" thickBot="1" x14ac:dyDescent="0.3">
      <c r="A9" s="2">
        <v>2</v>
      </c>
      <c r="B9" s="3">
        <v>0.45256000000000002</v>
      </c>
      <c r="C9" s="3">
        <v>2.7660000000000001E-2</v>
      </c>
    </row>
    <row r="10" spans="1:3" ht="15.75" thickBot="1" x14ac:dyDescent="0.3">
      <c r="A10" s="2">
        <v>3</v>
      </c>
      <c r="B10" s="3">
        <v>0.56037000000000003</v>
      </c>
      <c r="C10" s="3">
        <v>3.0676999999999999E-2</v>
      </c>
    </row>
    <row r="11" spans="1:3" ht="15.75" thickBot="1" x14ac:dyDescent="0.3">
      <c r="A11" s="2">
        <v>4</v>
      </c>
      <c r="B11" s="3">
        <v>0.66625000000000001</v>
      </c>
      <c r="C11" s="3">
        <v>3.4854999999999997E-2</v>
      </c>
    </row>
    <row r="12" spans="1:3" ht="15.75" thickBot="1" x14ac:dyDescent="0.3">
      <c r="A12" s="2">
        <v>5</v>
      </c>
      <c r="B12" s="3">
        <v>0.76941999999999999</v>
      </c>
      <c r="C12" s="3">
        <v>4.0403000000000001E-2</v>
      </c>
    </row>
    <row r="13" spans="1:3" ht="15.75" thickBot="1" x14ac:dyDescent="0.3">
      <c r="A13" s="2">
        <v>6</v>
      </c>
      <c r="B13" s="3">
        <v>0.86922999999999995</v>
      </c>
      <c r="C13" s="3">
        <v>4.759E-2</v>
      </c>
    </row>
    <row r="14" spans="1:3" ht="15.75" thickBot="1" x14ac:dyDescent="0.3">
      <c r="A14" s="2">
        <v>7</v>
      </c>
      <c r="B14" s="3">
        <v>0.96386000000000005</v>
      </c>
      <c r="C14" s="3">
        <v>5.7107999999999999E-2</v>
      </c>
    </row>
    <row r="15" spans="1:3" ht="15.75" thickBot="1" x14ac:dyDescent="0.3">
      <c r="A15" s="2">
        <v>8</v>
      </c>
      <c r="B15" s="3">
        <v>1.0441</v>
      </c>
      <c r="C15" s="3">
        <v>7.0132E-2</v>
      </c>
    </row>
    <row r="16" spans="1:3" ht="15.75" thickBot="1" x14ac:dyDescent="0.3">
      <c r="A16" s="2">
        <v>9</v>
      </c>
      <c r="B16" s="3">
        <v>1.0743</v>
      </c>
      <c r="C16" s="3">
        <v>9.0921000000000002E-2</v>
      </c>
    </row>
    <row r="17" spans="1:6" ht="15.75" thickBot="1" x14ac:dyDescent="0.3">
      <c r="A17" s="2">
        <v>10</v>
      </c>
      <c r="B17" s="3">
        <v>1.0807</v>
      </c>
      <c r="C17" s="3">
        <v>0.11193</v>
      </c>
    </row>
    <row r="18" spans="1:6" ht="15.75" thickBot="1" x14ac:dyDescent="0.3">
      <c r="A18" s="2">
        <v>11</v>
      </c>
      <c r="B18" s="3">
        <v>1.0379</v>
      </c>
      <c r="C18" s="3">
        <v>0.13253999999999999</v>
      </c>
    </row>
    <row r="19" spans="1:6" ht="15.75" thickBot="1" x14ac:dyDescent="0.3">
      <c r="A19" s="2">
        <v>12</v>
      </c>
      <c r="B19" s="3">
        <v>1.034</v>
      </c>
      <c r="C19" s="3">
        <v>0.15645000000000001</v>
      </c>
    </row>
    <row r="21" spans="1:6" x14ac:dyDescent="0.25">
      <c r="E21" s="4"/>
      <c r="F21" s="1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workbookViewId="0">
      <selection activeCell="U1" sqref="U1"/>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Variable Reference</vt:lpstr>
      <vt:lpstr>Main_Input</vt:lpstr>
      <vt:lpstr>Airfoil_Data</vt:lpstr>
      <vt:lpstr>Component_Data</vt:lpstr>
      <vt:lpstr>Materials</vt:lpstr>
      <vt:lpstr>Benchmark_Truth</vt:lpstr>
      <vt:lpstr>Geometry Reference</vt:lpstr>
      <vt:lpstr>MATERIALS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Robert Umali</cp:lastModifiedBy>
  <dcterms:created xsi:type="dcterms:W3CDTF">2023-12-05T19:03:00Z</dcterms:created>
  <dcterms:modified xsi:type="dcterms:W3CDTF">2025-10-08T19:45:48Z</dcterms:modified>
</cp:coreProperties>
</file>